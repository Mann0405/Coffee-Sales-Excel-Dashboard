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D:\Maninder Kaur\excel-project-coffee-sales-main\excel-project-coffee-sales-main\"/>
    </mc:Choice>
  </mc:AlternateContent>
  <xr:revisionPtr revIDLastSave="0" documentId="13_ncr:1_{0E060E0F-4402-4EE2-86C5-66E99C1CF9A1}" xr6:coauthVersionLast="47" xr6:coauthVersionMax="47" xr10:uidLastSave="{00000000-0000-0000-0000-000000000000}"/>
  <bookViews>
    <workbookView xWindow="-120" yWindow="-120" windowWidth="20730" windowHeight="11160" activeTab="3" xr2:uid="{00000000-000D-0000-FFFF-FFFF00000000}"/>
  </bookViews>
  <sheets>
    <sheet name="Total Sales" sheetId="19" r:id="rId1"/>
    <sheet name="Country bar chart" sheetId="20" r:id="rId2"/>
    <sheet name="Top 5 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2"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 i="17" l="1"/>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P2" i="17"/>
  <c r="I3" i="17"/>
  <c r="N3" i="17" s="1"/>
  <c r="J3" i="17"/>
  <c r="O3" i="17" s="1"/>
  <c r="K3" i="17"/>
  <c r="L3" i="17"/>
  <c r="M3" i="17" s="1"/>
  <c r="I4" i="17"/>
  <c r="N4" i="17" s="1"/>
  <c r="J4" i="17"/>
  <c r="O4" i="17" s="1"/>
  <c r="K4" i="17"/>
  <c r="L4" i="17"/>
  <c r="M4" i="17" s="1"/>
  <c r="I5" i="17"/>
  <c r="N5" i="17" s="1"/>
  <c r="J5" i="17"/>
  <c r="O5" i="17" s="1"/>
  <c r="K5" i="17"/>
  <c r="L5" i="17"/>
  <c r="M5" i="17" s="1"/>
  <c r="I6" i="17"/>
  <c r="N6" i="17" s="1"/>
  <c r="J6" i="17"/>
  <c r="O6" i="17" s="1"/>
  <c r="K6" i="17"/>
  <c r="L6" i="17"/>
  <c r="M6" i="17" s="1"/>
  <c r="I7" i="17"/>
  <c r="N7" i="17" s="1"/>
  <c r="J7" i="17"/>
  <c r="O7" i="17" s="1"/>
  <c r="K7" i="17"/>
  <c r="L7" i="17"/>
  <c r="M7" i="17" s="1"/>
  <c r="I8" i="17"/>
  <c r="N8" i="17" s="1"/>
  <c r="J8" i="17"/>
  <c r="O8" i="17" s="1"/>
  <c r="K8" i="17"/>
  <c r="L8" i="17"/>
  <c r="M8" i="17" s="1"/>
  <c r="I9" i="17"/>
  <c r="N9" i="17" s="1"/>
  <c r="J9" i="17"/>
  <c r="O9" i="17" s="1"/>
  <c r="K9" i="17"/>
  <c r="L9" i="17"/>
  <c r="M9" i="17" s="1"/>
  <c r="I10" i="17"/>
  <c r="N10" i="17" s="1"/>
  <c r="J10" i="17"/>
  <c r="O10" i="17" s="1"/>
  <c r="K10" i="17"/>
  <c r="L10" i="17"/>
  <c r="M10" i="17" s="1"/>
  <c r="I11" i="17"/>
  <c r="N11" i="17" s="1"/>
  <c r="J11" i="17"/>
  <c r="O11" i="17" s="1"/>
  <c r="K11" i="17"/>
  <c r="L11" i="17"/>
  <c r="M11" i="17" s="1"/>
  <c r="I12" i="17"/>
  <c r="N12" i="17" s="1"/>
  <c r="J12" i="17"/>
  <c r="O12" i="17" s="1"/>
  <c r="K12" i="17"/>
  <c r="L12" i="17"/>
  <c r="M12" i="17" s="1"/>
  <c r="I13" i="17"/>
  <c r="N13" i="17" s="1"/>
  <c r="J13" i="17"/>
  <c r="O13" i="17" s="1"/>
  <c r="K13" i="17"/>
  <c r="L13" i="17"/>
  <c r="M13" i="17" s="1"/>
  <c r="I14" i="17"/>
  <c r="N14" i="17" s="1"/>
  <c r="J14" i="17"/>
  <c r="O14" i="17" s="1"/>
  <c r="K14" i="17"/>
  <c r="L14" i="17"/>
  <c r="M14" i="17" s="1"/>
  <c r="I15" i="17"/>
  <c r="N15" i="17" s="1"/>
  <c r="J15" i="17"/>
  <c r="O15" i="17" s="1"/>
  <c r="K15" i="17"/>
  <c r="L15" i="17"/>
  <c r="M15" i="17" s="1"/>
  <c r="I16" i="17"/>
  <c r="N16" i="17" s="1"/>
  <c r="J16" i="17"/>
  <c r="O16" i="17" s="1"/>
  <c r="K16" i="17"/>
  <c r="L16" i="17"/>
  <c r="M16" i="17" s="1"/>
  <c r="I17" i="17"/>
  <c r="N17" i="17" s="1"/>
  <c r="J17" i="17"/>
  <c r="O17" i="17" s="1"/>
  <c r="K17" i="17"/>
  <c r="L17" i="17"/>
  <c r="M17" i="17" s="1"/>
  <c r="I18" i="17"/>
  <c r="N18" i="17" s="1"/>
  <c r="J18" i="17"/>
  <c r="O18" i="17" s="1"/>
  <c r="K18" i="17"/>
  <c r="L18" i="17"/>
  <c r="M18" i="17" s="1"/>
  <c r="I19" i="17"/>
  <c r="N19" i="17" s="1"/>
  <c r="J19" i="17"/>
  <c r="O19" i="17" s="1"/>
  <c r="K19" i="17"/>
  <c r="L19" i="17"/>
  <c r="M19" i="17" s="1"/>
  <c r="I20" i="17"/>
  <c r="N20" i="17" s="1"/>
  <c r="J20" i="17"/>
  <c r="O20" i="17" s="1"/>
  <c r="K20" i="17"/>
  <c r="L20" i="17"/>
  <c r="M20" i="17" s="1"/>
  <c r="I21" i="17"/>
  <c r="N21" i="17" s="1"/>
  <c r="J21" i="17"/>
  <c r="O21" i="17" s="1"/>
  <c r="K21" i="17"/>
  <c r="L21" i="17"/>
  <c r="M21" i="17" s="1"/>
  <c r="I22" i="17"/>
  <c r="N22" i="17" s="1"/>
  <c r="J22" i="17"/>
  <c r="O22" i="17" s="1"/>
  <c r="K22" i="17"/>
  <c r="L22" i="17"/>
  <c r="M22" i="17" s="1"/>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M30" i="17" s="1"/>
  <c r="I31" i="17"/>
  <c r="N31" i="17" s="1"/>
  <c r="J31" i="17"/>
  <c r="O31" i="17" s="1"/>
  <c r="K31" i="17"/>
  <c r="L31" i="17"/>
  <c r="M31" i="17" s="1"/>
  <c r="I32" i="17"/>
  <c r="N32" i="17" s="1"/>
  <c r="J32" i="17"/>
  <c r="O32" i="17" s="1"/>
  <c r="K32" i="17"/>
  <c r="L32" i="17"/>
  <c r="M32" i="17" s="1"/>
  <c r="I33" i="17"/>
  <c r="N33" i="17" s="1"/>
  <c r="J33" i="17"/>
  <c r="O33" i="17" s="1"/>
  <c r="K33" i="17"/>
  <c r="L33" i="17"/>
  <c r="M33" i="17" s="1"/>
  <c r="I34" i="17"/>
  <c r="N34" i="17" s="1"/>
  <c r="J34" i="17"/>
  <c r="O34" i="17" s="1"/>
  <c r="K34" i="17"/>
  <c r="L34" i="17"/>
  <c r="M34" i="17" s="1"/>
  <c r="I35" i="17"/>
  <c r="N35" i="17" s="1"/>
  <c r="J35" i="17"/>
  <c r="O35" i="17" s="1"/>
  <c r="K35" i="17"/>
  <c r="L35" i="17"/>
  <c r="M35" i="17" s="1"/>
  <c r="I36" i="17"/>
  <c r="N36" i="17" s="1"/>
  <c r="J36" i="17"/>
  <c r="O36" i="17" s="1"/>
  <c r="K36" i="17"/>
  <c r="L36" i="17"/>
  <c r="M36" i="17" s="1"/>
  <c r="I37" i="17"/>
  <c r="N37" i="17" s="1"/>
  <c r="J37" i="17"/>
  <c r="O37" i="17" s="1"/>
  <c r="K37" i="17"/>
  <c r="L37" i="17"/>
  <c r="M37" i="17" s="1"/>
  <c r="I38" i="17"/>
  <c r="N38" i="17" s="1"/>
  <c r="J38" i="17"/>
  <c r="O38" i="17" s="1"/>
  <c r="K38" i="17"/>
  <c r="L38" i="17"/>
  <c r="M38" i="17" s="1"/>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M42" i="17" s="1"/>
  <c r="I43" i="17"/>
  <c r="N43" i="17" s="1"/>
  <c r="J43" i="17"/>
  <c r="O43" i="17" s="1"/>
  <c r="K43" i="17"/>
  <c r="L43" i="17"/>
  <c r="M43" i="17" s="1"/>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N53" i="17" s="1"/>
  <c r="J53" i="17"/>
  <c r="O53" i="17" s="1"/>
  <c r="K53" i="17"/>
  <c r="L53" i="17"/>
  <c r="M53" i="17" s="1"/>
  <c r="I54" i="17"/>
  <c r="N54" i="17" s="1"/>
  <c r="J54" i="17"/>
  <c r="O54" i="17" s="1"/>
  <c r="K54" i="17"/>
  <c r="L54" i="17"/>
  <c r="M54" i="17" s="1"/>
  <c r="I55" i="17"/>
  <c r="N55" i="17" s="1"/>
  <c r="J55" i="17"/>
  <c r="O55" i="17" s="1"/>
  <c r="K55" i="17"/>
  <c r="L55" i="17"/>
  <c r="M55" i="17" s="1"/>
  <c r="I56" i="17"/>
  <c r="N56" i="17" s="1"/>
  <c r="J56" i="17"/>
  <c r="O56" i="17" s="1"/>
  <c r="K56" i="17"/>
  <c r="L56" i="17"/>
  <c r="M56" i="17" s="1"/>
  <c r="I57" i="17"/>
  <c r="N57" i="17" s="1"/>
  <c r="J57" i="17"/>
  <c r="O57" i="17" s="1"/>
  <c r="K57" i="17"/>
  <c r="L57" i="17"/>
  <c r="M57" i="17" s="1"/>
  <c r="I58" i="17"/>
  <c r="N58" i="17" s="1"/>
  <c r="J58" i="17"/>
  <c r="O58" i="17" s="1"/>
  <c r="K58" i="17"/>
  <c r="L58" i="17"/>
  <c r="M58" i="17" s="1"/>
  <c r="I59" i="17"/>
  <c r="N59" i="17" s="1"/>
  <c r="J59" i="17"/>
  <c r="O59" i="17" s="1"/>
  <c r="K59" i="17"/>
  <c r="L59" i="17"/>
  <c r="M59" i="17" s="1"/>
  <c r="I60" i="17"/>
  <c r="N60" i="17" s="1"/>
  <c r="J60" i="17"/>
  <c r="O60" i="17" s="1"/>
  <c r="K60" i="17"/>
  <c r="L60" i="17"/>
  <c r="M60" i="17" s="1"/>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M64" i="17" s="1"/>
  <c r="I65" i="17"/>
  <c r="N65" i="17" s="1"/>
  <c r="J65" i="17"/>
  <c r="O65" i="17" s="1"/>
  <c r="K65" i="17"/>
  <c r="L65" i="17"/>
  <c r="M65" i="17" s="1"/>
  <c r="I66" i="17"/>
  <c r="N66" i="17" s="1"/>
  <c r="J66" i="17"/>
  <c r="O66" i="17" s="1"/>
  <c r="K66" i="17"/>
  <c r="L66" i="17"/>
  <c r="M66" i="17" s="1"/>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M77" i="17" s="1"/>
  <c r="I78" i="17"/>
  <c r="N78" i="17" s="1"/>
  <c r="J78" i="17"/>
  <c r="O78" i="17" s="1"/>
  <c r="K78" i="17"/>
  <c r="L78" i="17"/>
  <c r="M78" i="17" s="1"/>
  <c r="I79" i="17"/>
  <c r="N79" i="17" s="1"/>
  <c r="J79" i="17"/>
  <c r="O79" i="17" s="1"/>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M86" i="17" s="1"/>
  <c r="I87" i="17"/>
  <c r="N87" i="17" s="1"/>
  <c r="J87" i="17"/>
  <c r="O87" i="17" s="1"/>
  <c r="K87" i="17"/>
  <c r="L87" i="17"/>
  <c r="M87" i="17" s="1"/>
  <c r="I88" i="17"/>
  <c r="N88" i="17" s="1"/>
  <c r="J88" i="17"/>
  <c r="O88" i="17" s="1"/>
  <c r="K88" i="17"/>
  <c r="L88" i="17"/>
  <c r="M88" i="17" s="1"/>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M92" i="17" s="1"/>
  <c r="I93" i="17"/>
  <c r="N93" i="17" s="1"/>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N97" i="17" s="1"/>
  <c r="J97" i="17"/>
  <c r="O97" i="17" s="1"/>
  <c r="K97" i="17"/>
  <c r="L97" i="17"/>
  <c r="M97" i="17" s="1"/>
  <c r="I98" i="17"/>
  <c r="N98" i="17" s="1"/>
  <c r="J98" i="17"/>
  <c r="O98" i="17" s="1"/>
  <c r="K98" i="17"/>
  <c r="L98" i="17"/>
  <c r="M98" i="17" s="1"/>
  <c r="I99" i="17"/>
  <c r="N99" i="17" s="1"/>
  <c r="J99" i="17"/>
  <c r="O99" i="17" s="1"/>
  <c r="K99" i="17"/>
  <c r="L99" i="17"/>
  <c r="M99" i="17" s="1"/>
  <c r="I100" i="17"/>
  <c r="N100" i="17" s="1"/>
  <c r="J100" i="17"/>
  <c r="O100" i="17" s="1"/>
  <c r="K100" i="17"/>
  <c r="L100" i="17"/>
  <c r="M100" i="17" s="1"/>
  <c r="I101" i="17"/>
  <c r="N101" i="17" s="1"/>
  <c r="J101" i="17"/>
  <c r="O101" i="17" s="1"/>
  <c r="K101" i="17"/>
  <c r="L101" i="17"/>
  <c r="M101" i="17" s="1"/>
  <c r="I102" i="17"/>
  <c r="N102" i="17" s="1"/>
  <c r="J102" i="17"/>
  <c r="O102" i="17" s="1"/>
  <c r="K102" i="17"/>
  <c r="L102" i="17"/>
  <c r="M102" i="17" s="1"/>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M106" i="17" s="1"/>
  <c r="I107" i="17"/>
  <c r="N107" i="17" s="1"/>
  <c r="J107" i="17"/>
  <c r="O107" i="17" s="1"/>
  <c r="K107" i="17"/>
  <c r="L107" i="17"/>
  <c r="M107" i="17" s="1"/>
  <c r="I108" i="17"/>
  <c r="N108" i="17" s="1"/>
  <c r="J108" i="17"/>
  <c r="O108" i="17" s="1"/>
  <c r="K108" i="17"/>
  <c r="L108" i="17"/>
  <c r="M108" i="17" s="1"/>
  <c r="I109" i="17"/>
  <c r="N109" i="17" s="1"/>
  <c r="J109" i="17"/>
  <c r="O109" i="17" s="1"/>
  <c r="K109" i="17"/>
  <c r="L109" i="17"/>
  <c r="M109" i="17" s="1"/>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M113" i="17" s="1"/>
  <c r="I114" i="17"/>
  <c r="N114" i="17" s="1"/>
  <c r="J114" i="17"/>
  <c r="O114" i="17" s="1"/>
  <c r="K114" i="17"/>
  <c r="L114" i="17"/>
  <c r="M114" i="17" s="1"/>
  <c r="I115" i="17"/>
  <c r="N115" i="17" s="1"/>
  <c r="J115" i="17"/>
  <c r="O115" i="17" s="1"/>
  <c r="K115" i="17"/>
  <c r="L115" i="17"/>
  <c r="M115" i="17" s="1"/>
  <c r="I116" i="17"/>
  <c r="N116" i="17" s="1"/>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M121" i="17" s="1"/>
  <c r="I122" i="17"/>
  <c r="N122" i="17" s="1"/>
  <c r="J122" i="17"/>
  <c r="O122" i="17" s="1"/>
  <c r="K122" i="17"/>
  <c r="L122" i="17"/>
  <c r="M122" i="17" s="1"/>
  <c r="I123" i="17"/>
  <c r="N123" i="17" s="1"/>
  <c r="J123" i="17"/>
  <c r="O123" i="17" s="1"/>
  <c r="K123" i="17"/>
  <c r="L123" i="17"/>
  <c r="M123" i="17" s="1"/>
  <c r="I124" i="17"/>
  <c r="N124" i="17" s="1"/>
  <c r="J124" i="17"/>
  <c r="O124" i="17" s="1"/>
  <c r="K124" i="17"/>
  <c r="L124" i="17"/>
  <c r="M124" i="17" s="1"/>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M128" i="17" s="1"/>
  <c r="I129" i="17"/>
  <c r="N129" i="17" s="1"/>
  <c r="J129" i="17"/>
  <c r="O129" i="17" s="1"/>
  <c r="K129" i="17"/>
  <c r="L129" i="17"/>
  <c r="M129" i="17" s="1"/>
  <c r="I130" i="17"/>
  <c r="N130" i="17" s="1"/>
  <c r="J130" i="17"/>
  <c r="O130" i="17" s="1"/>
  <c r="K130" i="17"/>
  <c r="L130" i="17"/>
  <c r="M130" i="17" s="1"/>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N138" i="17" s="1"/>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O142" i="17" s="1"/>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M149" i="17" s="1"/>
  <c r="I150" i="17"/>
  <c r="N150" i="17" s="1"/>
  <c r="J150" i="17"/>
  <c r="O150" i="17" s="1"/>
  <c r="K150" i="17"/>
  <c r="L150" i="17"/>
  <c r="M150" i="17" s="1"/>
  <c r="I151" i="17"/>
  <c r="N151" i="17" s="1"/>
  <c r="J151" i="17"/>
  <c r="O151" i="17" s="1"/>
  <c r="K151" i="17"/>
  <c r="L151" i="17"/>
  <c r="M151" i="17" s="1"/>
  <c r="I152" i="17"/>
  <c r="N152" i="17" s="1"/>
  <c r="J152" i="17"/>
  <c r="O152" i="17" s="1"/>
  <c r="K152" i="17"/>
  <c r="L152" i="17"/>
  <c r="M152" i="17" s="1"/>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M156" i="17" s="1"/>
  <c r="I157" i="17"/>
  <c r="N157" i="17" s="1"/>
  <c r="J157" i="17"/>
  <c r="O157" i="17" s="1"/>
  <c r="K157" i="17"/>
  <c r="L157" i="17"/>
  <c r="M157" i="17" s="1"/>
  <c r="I158" i="17"/>
  <c r="N158" i="17" s="1"/>
  <c r="J158" i="17"/>
  <c r="O158" i="17" s="1"/>
  <c r="K158" i="17"/>
  <c r="L158" i="17"/>
  <c r="M158" i="17" s="1"/>
  <c r="I159" i="17"/>
  <c r="N159" i="17" s="1"/>
  <c r="J159" i="17"/>
  <c r="O159" i="17" s="1"/>
  <c r="K159" i="17"/>
  <c r="L159" i="17"/>
  <c r="M159" i="17" s="1"/>
  <c r="I160" i="17"/>
  <c r="N160" i="17" s="1"/>
  <c r="J160" i="17"/>
  <c r="O160" i="17" s="1"/>
  <c r="K160" i="17"/>
  <c r="L160" i="17"/>
  <c r="M160" i="17" s="1"/>
  <c r="I161" i="17"/>
  <c r="N161" i="17" s="1"/>
  <c r="J161" i="17"/>
  <c r="O161" i="17" s="1"/>
  <c r="K161" i="17"/>
  <c r="L161" i="17"/>
  <c r="M161" i="17" s="1"/>
  <c r="I162" i="17"/>
  <c r="N162" i="17" s="1"/>
  <c r="J162" i="17"/>
  <c r="O162" i="17" s="1"/>
  <c r="K162" i="17"/>
  <c r="L162" i="17"/>
  <c r="M162" i="17" s="1"/>
  <c r="I163" i="17"/>
  <c r="N163" i="17" s="1"/>
  <c r="J163" i="17"/>
  <c r="O163" i="17" s="1"/>
  <c r="K163" i="17"/>
  <c r="L163" i="17"/>
  <c r="M163" i="17" s="1"/>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M170" i="17" s="1"/>
  <c r="I171" i="17"/>
  <c r="N171" i="17" s="1"/>
  <c r="J171" i="17"/>
  <c r="O171" i="17" s="1"/>
  <c r="K171" i="17"/>
  <c r="L171" i="17"/>
  <c r="M171" i="17" s="1"/>
  <c r="I172" i="17"/>
  <c r="N172" i="17" s="1"/>
  <c r="J172" i="17"/>
  <c r="O172" i="17" s="1"/>
  <c r="K172" i="17"/>
  <c r="L172" i="17"/>
  <c r="M172" i="17" s="1"/>
  <c r="I173" i="17"/>
  <c r="N173" i="17" s="1"/>
  <c r="J173" i="17"/>
  <c r="O173" i="17" s="1"/>
  <c r="K173" i="17"/>
  <c r="L173" i="17"/>
  <c r="M173" i="17" s="1"/>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N181" i="17" s="1"/>
  <c r="J181" i="17"/>
  <c r="O181" i="17" s="1"/>
  <c r="K181" i="17"/>
  <c r="L181" i="17"/>
  <c r="M181" i="17" s="1"/>
  <c r="I182" i="17"/>
  <c r="N182" i="17" s="1"/>
  <c r="J182" i="17"/>
  <c r="O182" i="17" s="1"/>
  <c r="K182" i="17"/>
  <c r="L182" i="17"/>
  <c r="M182" i="17" s="1"/>
  <c r="I183" i="17"/>
  <c r="N183" i="17" s="1"/>
  <c r="J183" i="17"/>
  <c r="O183" i="17" s="1"/>
  <c r="K183" i="17"/>
  <c r="L183" i="17"/>
  <c r="M183" i="17" s="1"/>
  <c r="I184" i="17"/>
  <c r="N184" i="17" s="1"/>
  <c r="J184" i="17"/>
  <c r="O184" i="17" s="1"/>
  <c r="K184" i="17"/>
  <c r="L184" i="17"/>
  <c r="M184" i="17" s="1"/>
  <c r="I185" i="17"/>
  <c r="N185" i="17" s="1"/>
  <c r="J185" i="17"/>
  <c r="O185" i="17" s="1"/>
  <c r="K185" i="17"/>
  <c r="L185" i="17"/>
  <c r="M185" i="17" s="1"/>
  <c r="I186" i="17"/>
  <c r="N186" i="17" s="1"/>
  <c r="J186" i="17"/>
  <c r="O186" i="17" s="1"/>
  <c r="K186" i="17"/>
  <c r="L186" i="17"/>
  <c r="M186" i="17" s="1"/>
  <c r="I187" i="17"/>
  <c r="N187" i="17" s="1"/>
  <c r="J187" i="17"/>
  <c r="O187" i="17" s="1"/>
  <c r="K187" i="17"/>
  <c r="L187" i="17"/>
  <c r="M187" i="17" s="1"/>
  <c r="I188" i="17"/>
  <c r="N188" i="17" s="1"/>
  <c r="J188" i="17"/>
  <c r="O188" i="17" s="1"/>
  <c r="K188" i="17"/>
  <c r="L188" i="17"/>
  <c r="M188" i="17" s="1"/>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N202" i="17" s="1"/>
  <c r="J202" i="17"/>
  <c r="O202" i="17" s="1"/>
  <c r="K202" i="17"/>
  <c r="L202" i="17"/>
  <c r="M202" i="17" s="1"/>
  <c r="I203" i="17"/>
  <c r="N203" i="17" s="1"/>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M207" i="17" s="1"/>
  <c r="I208" i="17"/>
  <c r="N208" i="17" s="1"/>
  <c r="J208" i="17"/>
  <c r="O208" i="17" s="1"/>
  <c r="K208" i="17"/>
  <c r="L208" i="17"/>
  <c r="M208" i="17" s="1"/>
  <c r="I209" i="17"/>
  <c r="N209" i="17" s="1"/>
  <c r="J209" i="17"/>
  <c r="O209" i="17" s="1"/>
  <c r="K209" i="17"/>
  <c r="L209" i="17"/>
  <c r="M209" i="17" s="1"/>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M213" i="17" s="1"/>
  <c r="I214" i="17"/>
  <c r="N214" i="17" s="1"/>
  <c r="J214" i="17"/>
  <c r="O214" i="17" s="1"/>
  <c r="K214" i="17"/>
  <c r="L214" i="17"/>
  <c r="M214" i="17" s="1"/>
  <c r="I215" i="17"/>
  <c r="N215" i="17" s="1"/>
  <c r="J215" i="17"/>
  <c r="O215" i="17" s="1"/>
  <c r="K215" i="17"/>
  <c r="L215" i="17"/>
  <c r="M215" i="17" s="1"/>
  <c r="I216" i="17"/>
  <c r="N216" i="17" s="1"/>
  <c r="J216" i="17"/>
  <c r="O216" i="17" s="1"/>
  <c r="K216" i="17"/>
  <c r="L216" i="17"/>
  <c r="M216" i="17" s="1"/>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M220" i="17" s="1"/>
  <c r="I221" i="17"/>
  <c r="N221" i="17" s="1"/>
  <c r="J221" i="17"/>
  <c r="O221" i="17" s="1"/>
  <c r="K221" i="17"/>
  <c r="L221" i="17"/>
  <c r="M221" i="17" s="1"/>
  <c r="I222" i="17"/>
  <c r="N222" i="17" s="1"/>
  <c r="J222" i="17"/>
  <c r="O222" i="17" s="1"/>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M228" i="17" s="1"/>
  <c r="I229" i="17"/>
  <c r="N229" i="17" s="1"/>
  <c r="J229" i="17"/>
  <c r="O229" i="17" s="1"/>
  <c r="K229" i="17"/>
  <c r="L229" i="17"/>
  <c r="M229" i="17" s="1"/>
  <c r="I230" i="17"/>
  <c r="N230" i="17" s="1"/>
  <c r="J230" i="17"/>
  <c r="O230" i="17" s="1"/>
  <c r="K230" i="17"/>
  <c r="L230" i="17"/>
  <c r="M230" i="17" s="1"/>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M234" i="17" s="1"/>
  <c r="I235" i="17"/>
  <c r="N235" i="17" s="1"/>
  <c r="J235" i="17"/>
  <c r="O235" i="17" s="1"/>
  <c r="K235" i="17"/>
  <c r="L235" i="17"/>
  <c r="M235" i="17" s="1"/>
  <c r="I236" i="17"/>
  <c r="N236" i="17" s="1"/>
  <c r="J236" i="17"/>
  <c r="O236" i="17" s="1"/>
  <c r="K236" i="17"/>
  <c r="L236" i="17"/>
  <c r="M236" i="17" s="1"/>
  <c r="I237" i="17"/>
  <c r="N237" i="17" s="1"/>
  <c r="J237" i="17"/>
  <c r="O237" i="17" s="1"/>
  <c r="K237" i="17"/>
  <c r="L237" i="17"/>
  <c r="M237" i="17" s="1"/>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M246" i="17" s="1"/>
  <c r="I247" i="17"/>
  <c r="N247" i="17" s="1"/>
  <c r="J247" i="17"/>
  <c r="O247" i="17" s="1"/>
  <c r="K247" i="17"/>
  <c r="L247" i="17"/>
  <c r="M247" i="17" s="1"/>
  <c r="I248" i="17"/>
  <c r="N248" i="17" s="1"/>
  <c r="J248" i="17"/>
  <c r="O248" i="17" s="1"/>
  <c r="K248" i="17"/>
  <c r="L248" i="17"/>
  <c r="M248" i="17" s="1"/>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M257" i="17" s="1"/>
  <c r="I258" i="17"/>
  <c r="N258" i="17" s="1"/>
  <c r="J258" i="17"/>
  <c r="O258" i="17" s="1"/>
  <c r="K258" i="17"/>
  <c r="L258" i="17"/>
  <c r="M258" i="17" s="1"/>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M266" i="17" s="1"/>
  <c r="I267" i="17"/>
  <c r="N267" i="17" s="1"/>
  <c r="J267" i="17"/>
  <c r="O267" i="17" s="1"/>
  <c r="K267" i="17"/>
  <c r="L267" i="17"/>
  <c r="M267" i="17" s="1"/>
  <c r="I268" i="17"/>
  <c r="N268" i="17" s="1"/>
  <c r="J268" i="17"/>
  <c r="O268" i="17" s="1"/>
  <c r="K268" i="17"/>
  <c r="L268" i="17"/>
  <c r="M268" i="17" s="1"/>
  <c r="I269" i="17"/>
  <c r="N269" i="17" s="1"/>
  <c r="J269" i="17"/>
  <c r="O269" i="17" s="1"/>
  <c r="K269" i="17"/>
  <c r="L269" i="17"/>
  <c r="M269" i="17" s="1"/>
  <c r="I270" i="17"/>
  <c r="N270" i="17" s="1"/>
  <c r="J270" i="17"/>
  <c r="O270" i="17" s="1"/>
  <c r="K270" i="17"/>
  <c r="L270" i="17"/>
  <c r="M270" i="17" s="1"/>
  <c r="I271" i="17"/>
  <c r="N271" i="17" s="1"/>
  <c r="J271" i="17"/>
  <c r="O271" i="17" s="1"/>
  <c r="K271" i="17"/>
  <c r="L271" i="17"/>
  <c r="M271" i="17" s="1"/>
  <c r="I272" i="17"/>
  <c r="N272" i="17" s="1"/>
  <c r="J272" i="17"/>
  <c r="O272" i="17" s="1"/>
  <c r="K272" i="17"/>
  <c r="L272" i="17"/>
  <c r="M272" i="17" s="1"/>
  <c r="I273" i="17"/>
  <c r="N273" i="17" s="1"/>
  <c r="J273" i="17"/>
  <c r="O273" i="17" s="1"/>
  <c r="K273" i="17"/>
  <c r="L273" i="17"/>
  <c r="M273" i="17" s="1"/>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N287" i="17" s="1"/>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M292" i="17" s="1"/>
  <c r="I293" i="17"/>
  <c r="N293" i="17" s="1"/>
  <c r="J293" i="17"/>
  <c r="O293" i="17" s="1"/>
  <c r="K293" i="17"/>
  <c r="L293" i="17"/>
  <c r="M293" i="17" s="1"/>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M300" i="17" s="1"/>
  <c r="I301" i="17"/>
  <c r="N301" i="17" s="1"/>
  <c r="J301" i="17"/>
  <c r="O301" i="17" s="1"/>
  <c r="K301" i="17"/>
  <c r="L301" i="17"/>
  <c r="M301" i="17" s="1"/>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O309" i="17" s="1"/>
  <c r="K309" i="17"/>
  <c r="L309" i="17"/>
  <c r="M309" i="17" s="1"/>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M314" i="17" s="1"/>
  <c r="I315" i="17"/>
  <c r="N315" i="17" s="1"/>
  <c r="J315" i="17"/>
  <c r="O315" i="17" s="1"/>
  <c r="K315" i="17"/>
  <c r="L315" i="17"/>
  <c r="M315" i="17" s="1"/>
  <c r="I316" i="17"/>
  <c r="N316" i="17" s="1"/>
  <c r="J316" i="17"/>
  <c r="O316" i="17" s="1"/>
  <c r="K316" i="17"/>
  <c r="L316" i="17"/>
  <c r="M316" i="17" s="1"/>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M321" i="17" s="1"/>
  <c r="I322" i="17"/>
  <c r="N322" i="17" s="1"/>
  <c r="J322" i="17"/>
  <c r="O322" i="17" s="1"/>
  <c r="K322" i="17"/>
  <c r="L322" i="17"/>
  <c r="M322" i="17" s="1"/>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O329" i="17" s="1"/>
  <c r="K329" i="17"/>
  <c r="L329" i="17"/>
  <c r="M329" i="17" s="1"/>
  <c r="I330" i="17"/>
  <c r="N330" i="17" s="1"/>
  <c r="J330" i="17"/>
  <c r="O330" i="17" s="1"/>
  <c r="K330" i="17"/>
  <c r="L330" i="17"/>
  <c r="M330" i="17" s="1"/>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O337" i="17" s="1"/>
  <c r="K337" i="17"/>
  <c r="L337" i="17"/>
  <c r="M337" i="17" s="1"/>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M342" i="17" s="1"/>
  <c r="I343" i="17"/>
  <c r="N343" i="17" s="1"/>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O349" i="17" s="1"/>
  <c r="K349" i="17"/>
  <c r="L349" i="17"/>
  <c r="M349" i="17" s="1"/>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M354" i="17" s="1"/>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M413" i="17" s="1"/>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M434" i="17" s="1"/>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M477" i="17" s="1"/>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M519" i="17" s="1"/>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M541" i="17" s="1"/>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M562" i="17" s="1"/>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M583" i="17" s="1"/>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M647" i="17" s="1"/>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M669" i="17" s="1"/>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M711" i="17" s="1"/>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M733" i="17" s="1"/>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M754" i="17" s="1"/>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M773" i="17" s="1"/>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M781" i="17" s="1"/>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M789" i="17" s="1"/>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M797" i="17" s="1"/>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M813" i="17" s="1"/>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M821" i="17" s="1"/>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M837" i="17" s="1"/>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M861" i="17" s="1"/>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M885" i="17" s="1"/>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M925" i="17" s="1"/>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M957" i="17" s="1"/>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M965" i="17" s="1"/>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M997" i="17" s="1"/>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<sst xmlns="http://schemas.openxmlformats.org/spreadsheetml/2006/main" count="11128" uniqueCount="6221">
  <si>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</si>
  <si>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</si>
  <si>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</si>
  <si>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</si>
  <si>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</si>
  <si>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</si>
  <si>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</si>
  <si>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</si>
  <si>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</si>
  <si>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</si>
  <si>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</si>
  <si>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</si>
  <si>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</si>
  <si>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</si>
  <si>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</si>
  <si>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</si>
  <si>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</si>
  <si>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</si>
  <si>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</si>
  <si>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</si>
  <si>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</si>
  <si>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</si>
  <si>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</si>
  <si>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</si>
  <si>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</si>
  <si>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</si>
  <si>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</si>
  <si>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</si>
  <si>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</si>
  <si>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</si>
  <si>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</si>
  <si>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</si>
  <si>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</si>
  <si>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</si>
  <si>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</si>
  <si>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</si>
  <si>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</si>
  <si>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</si>
  <si>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</si>
  <si>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</si>
  <si>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</si>
  <si>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</si>
  <si>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</si>
  <si>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</si>
  <si>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</si>
  <si>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</si>
  <si>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</si>
  <si>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</si>
  <si>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</si>
  <si>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</si>
  <si>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</si>
  <si>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</si>
  <si>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</si>
  <si>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</si>
  <si>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</si>
  <si>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</si>
  <si>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</si>
  <si>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</si>
  <si>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</si>
  <si>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</si>
  <si>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</si>
  <si>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</si>
  <si>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</si>
  <si>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</si>
  <si>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</si>
  <si>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</si>
  <si>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</si>
  <si>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</si>
  <si>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</si>
  <si>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</si>
  <si>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</si>
  <si>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</si>
  <si>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</si>
  <si>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</si>
  <si>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</si>
  <si>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</si>
  <si>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</si>
  <si>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</si>
  <si>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</si>
  <si>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</si>
  <si>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</si>
  <si>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</si>
  <si>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</si>
  <si>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</si>
  <si>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</si>
  <si>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</si>
  <si>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</si>
  <si>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</si>
  <si>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</si>
  <si>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</si>
  <si>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</si>
  <si>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</si>
  <si>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</si>
  <si>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</si>
  <si>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</si>
  <si>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</si>
  <si>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</si>
  <si>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</si>
  <si>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</si>
  <si>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</si>
  <si>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</si>
  <si>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</si>
  <si>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</si>
  <si>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</si>
  <si>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</si>
  <si>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</si>
  <si>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</si>
  <si>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</si>
  <si>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</si>
  <si>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</si>
  <si>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</si>
  <si>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</si>
  <si>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</si>
  <si>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</si>
  <si>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</si>
  <si>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</si>
  <si>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</si>
  <si>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</si>
  <si>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</si>
  <si>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</si>
  <si>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</si>
  <si>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</si>
  <si>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</si>
  <si>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</si>
  <si>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</si>
  <si>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</si>
  <si>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</si>
  <si>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</si>
  <si>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</si>
  <si>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</si>
  <si>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</si>
  <si>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</si>
  <si>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</si>
  <si>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</si>
  <si>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</si>
  <si>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</si>
  <si>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</si>
  <si>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</si>
  <si>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</si>
  <si>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</si>
  <si>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</si>
  <si>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</si>
  <si>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</si>
  <si>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</si>
  <si>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</si>
  <si>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</si>
  <si>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</si>
  <si>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</si>
  <si>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</si>
  <si>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</si>
  <si>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</si>
  <si>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</si>
  <si>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</si>
  <si>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</si>
  <si>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</si>
  <si>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</si>
  <si>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</si>
  <si>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</si>
  <si>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</si>
  <si>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</si>
  <si>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</si>
  <si>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</si>
  <si>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</si>
  <si>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</si>
  <si>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</si>
  <si>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</si>
  <si>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</si>
  <si>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</si>
  <si>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</si>
  <si>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</si>
  <si>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</si>
  <si>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</si>
  <si>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</si>
  <si>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</si>
  <si>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</si>
  <si>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</si>
  <si>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</si>
  <si>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</si>
  <si>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</si>
  <si>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</si>
  <si>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</si>
  <si>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</si>
  <si>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</si>
  <si>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</si>
  <si>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</si>
  <si>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</si>
  <si>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</si>
  <si>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</si>
  <si>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</si>
  <si>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</si>
  <si>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</si>
  <si>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</si>
  <si>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</si>
  <si>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</si>
  <si>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</si>
  <si>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</si>
  <si>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</si>
  <si>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</si>
  <si>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</si>
  <si>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</si>
  <si>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</si>
  <si>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</si>
  <si>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</si>
  <si>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</si>
  <si>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</si>
  <si>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</si>
  <si>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</si>
  <si>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</si>
  <si>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</si>
  <si>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</si>
  <si>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</si>
  <si>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</si>
  <si>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</si>
  <si>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</si>
  <si>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</si>
  <si>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</si>
  <si>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</si>
  <si>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</si>
  <si>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</si>
  <si>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</si>
  <si>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</si>
  <si>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</si>
  <si>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</si>
  <si>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</si>
  <si>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</si>
  <si>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</si>
  <si>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</si>
  <si>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</si>
  <si>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</si>
  <si>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</si>
  <si>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</si>
  <si>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</si>
  <si>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</si>
  <si>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</si>
  <si>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</si>
  <si>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</si>
  <si>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</si>
  <si>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</si>
  <si>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</si>
  <si>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</si>
  <si>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</si>
  <si>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</si>
  <si>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</si>
  <si>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</si>
  <si>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</si>
  <si>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</si>
  <si>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</si>
  <si>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</si>
  <si>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</si>
  <si>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</si>
  <si>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</si>
  <si>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</si>
  <si>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</si>
  <si>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</si>
  <si>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</si>
  <si>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</si>
  <si>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</si>
  <si>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</si>
  <si>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</si>
  <si>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</si>
  <si>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</si>
  <si>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</si>
  <si>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</si>
  <si>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</si>
  <si>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</si>
  <si>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</si>
  <si>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</si>
  <si>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</si>
  <si>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</si>
  <si>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</si>
  <si>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</si>
  <si>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</si>
  <si>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</si>
  <si>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</si>
  <si>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</si>
  <si>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</si>
  <si>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</si>
  <si>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</si>
  <si>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</si>
  <si>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</si>
  <si>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</si>
  <si>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</si>
  <si>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</si>
  <si>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</si>
  <si>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</si>
  <si>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</si>
  <si>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</si>
  <si>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</si>
  <si>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</si>
  <si>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</si>
  <si>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</si>
  <si>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</si>
  <si>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</si>
  <si>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</si>
  <si>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</si>
  <si>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</si>
  <si>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</si>
  <si>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</si>
  <si>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</si>
  <si>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</si>
  <si>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</si>
  <si>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</si>
  <si>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</si>
  <si>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</si>
  <si>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</si>
  <si>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</si>
  <si>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</si>
  <si>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</si>
  <si>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</si>
  <si>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</si>
  <si>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</si>
  <si>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</si>
  <si>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</si>
  <si>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</si>
  <si>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</si>
  <si>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</si>
  <si>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</si>
  <si>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</si>
  <si>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</si>
  <si>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</si>
  <si>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</si>
  <si>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</si>
  <si>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</si>
  <si>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</si>
  <si>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</si>
  <si>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</si>
  <si>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</si>
  <si>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</si>
  <si>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</si>
  <si>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</si>
  <si>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</si>
  <si>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</si>
  <si>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</si>
  <si>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</si>
  <si>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</si>
  <si>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</si>
  <si>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</si>
  <si>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</si>
  <si>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</si>
  <si>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</si>
  <si>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</si>
  <si>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</si>
  <si>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</si>
  <si>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</si>
  <si>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</si>
  <si>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</si>
  <si>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</si>
  <si>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</si>
  <si>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</si>
  <si>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</si>
  <si>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</si>
  <si>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</si>
  <si>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</si>
  <si>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</si>
  <si>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</si>
  <si>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</si>
  <si>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</si>
  <si>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</si>
  <si>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</si>
  <si>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</si>
  <si>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</si>
  <si>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</si>
  <si>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</si>
  <si>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</si>
  <si>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</si>
  <si>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</si>
  <si>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</si>
  <si>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</si>
  <si>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</si>
  <si>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</si>
  <si>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</si>
  <si>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</si>
  <si>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</si>
  <si>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</si>
  <si>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</si>
  <si>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</si>
  <si>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</si>
  <si>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</si>
  <si>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</si>
  <si>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</si>
  <si>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</si>
  <si>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</si>
  <si>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</si>
  <si>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</si>
  <si>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</si>
  <si>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</si>
  <si>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</si>
  <si>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</si>
  <si>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</si>
  <si>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</si>
  <si>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</si>
  <si>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</si>
  <si>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</si>
  <si>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</si>
  <si>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</si>
  <si>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</si>
  <si>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</si>
  <si>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</si>
  <si>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</si>
  <si>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</si>
  <si>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</si>
  <si>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</si>
  <si>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</si>
  <si>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</si>
  <si>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</si>
  <si>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</si>
  <si>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</si>
  <si>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</si>
  <si>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</si>
  <si>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</si>
  <si>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</si>
  <si>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</si>
  <si>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</si>
  <si>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</si>
  <si>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</si>
  <si>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</si>
  <si>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</si>
  <si>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</si>
  <si>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</si>
  <si>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</si>
  <si>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</si>
  <si>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</si>
  <si>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</si>
  <si>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</si>
  <si>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</si>
  <si>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</si>
  <si>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</si>
  <si>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</si>
  <si>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</si>
  <si>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</si>
  <si>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</si>
  <si>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</si>
  <si>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</si>
  <si>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</si>
  <si>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</si>
  <si>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</si>
  <si>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</si>
  <si>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</si>
  <si>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</si>
  <si>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</si>
  <si>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</si>
  <si>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</si>
  <si>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</si>
  <si>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</si>
  <si>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</si>
  <si>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</si>
  <si>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</si>
  <si>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</si>
  <si>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</si>
  <si>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</si>
  <si>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</si>
  <si>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</si>
  <si>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</si>
  <si>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</si>
  <si>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</si>
  <si>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</si>
  <si>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</si>
  <si>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</si>
  <si>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</si>
  <si>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</si>
  <si>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</si>
  <si>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</si>
  <si>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</si>
  <si>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</si>
  <si>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</si>
  <si>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</si>
  <si>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</si>
  <si>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</si>
  <si>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</si>
  <si>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</si>
  <si>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</si>
  <si>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</si>
  <si>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</si>
  <si>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</si>
  <si>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</si>
  <si>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</si>
  <si>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</si>
  <si>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</si>
  <si>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</si>
  <si>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</si>
  <si>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</si>
  <si>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</si>
  <si>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</si>
  <si>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</si>
  <si>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</si>
  <si>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</si>
  <si>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</si>
  <si>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</si>
  <si>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</si>
  <si>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</si>
  <si>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</si>
  <si>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</si>
  <si>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</si>
  <si>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</si>
  <si>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</si>
  <si>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</si>
  <si>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</si>
  <si>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</si>
  <si>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</si>
  <si>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</si>
  <si>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</si>
  <si>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</si>
  <si>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</si>
  <si>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</si>
  <si>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</si>
  <si>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</si>
  <si>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</si>
  <si>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</si>
  <si>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</si>
  <si>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</si>
  <si>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</si>
  <si>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</si>
  <si>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</si>
  <si>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</si>
  <si>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</si>
  <si>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</si>
  <si>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</si>
  <si>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</si>
  <si>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</si>
  <si>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</si>
  <si>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</si>
  <si>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</si>
  <si>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</si>
  <si>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</si>
  <si>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</si>
  <si>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</si>
  <si>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</si>
  <si>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</si>
  <si>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</si>
  <si>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</si>
  <si>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</si>
  <si>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</si>
  <si>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</si>
  <si>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</si>
  <si>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</si>
  <si>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</si>
  <si>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</si>
  <si>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</si>
  <si>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</si>
  <si>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</si>
  <si>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</si>
  <si>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</si>
  <si>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</si>
  <si>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</si>
  <si>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</si>
  <si>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</si>
  <si>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</si>
  <si>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</si>
  <si>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</si>
  <si>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</si>
  <si>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</si>
  <si>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</si>
  <si>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</si>
  <si>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</si>
  <si>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</si>
  <si>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</si>
  <si>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</si>
  <si>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</si>
  <si>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</si>
  <si>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</si>
  <si>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</si>
  <si>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</si>
  <si>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</si>
  <si>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</si>
  <si>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</si>
  <si>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</si>
  <si>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</si>
  <si>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</si>
  <si>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</si>
  <si>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</si>
  <si>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</si>
  <si>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</si>
  <si>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</si>
  <si>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</si>
  <si>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</si>
  <si>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</si>
  <si>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</si>
  <si>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</si>
  <si>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</si>
  <si>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</si>
  <si>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</si>
  <si>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</si>
  <si>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</si>
  <si>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</si>
  <si>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</si>
  <si>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</si>
  <si>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</si>
  <si>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</si>
  <si>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</si>
  <si>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</si>
  <si>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</si>
  <si>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</si>
  <si>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</si>
  <si>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</si>
  <si>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</si>
  <si>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</si>
  <si>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</si>
  <si>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</si>
  <si>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</si>
  <si>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</si>
  <si>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</si>
  <si>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</si>
  <si>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</si>
  <si>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</si>
  <si>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</si>
  <si>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</si>
  <si>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</si>
  <si>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</si>
  <si>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</si>
  <si>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</si>
  <si>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</si>
  <si>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</si>
  <si>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</si>
  <si>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</si>
  <si>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</si>
  <si>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</si>
  <si>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</si>
  <si>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</si>
  <si>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</si>
  <si>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</si>
  <si>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</si>
  <si>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</si>
  <si>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</si>
  <si>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</si>
  <si>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</si>
  <si>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</si>
  <si>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</si>
  <si>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</si>
  <si>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</si>
  <si>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</si>
  <si>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</si>
  <si>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</si>
  <si>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</si>
  <si>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</si>
  <si>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</si>
  <si>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</si>
  <si>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</si>
  <si>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</si>
  <si>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</si>
  <si>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</si>
  <si>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</si>
  <si>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</si>
  <si>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</si>
  <si>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</si>
  <si>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</si>
  <si>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</si>
  <si>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</si>
  <si>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</si>
  <si>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</si>
  <si>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</si>
  <si>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</si>
  <si>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</si>
  <si>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</si>
  <si>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</si>
  <si>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</si>
  <si>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</si>
  <si>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</si>
  <si>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</si>
  <si>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</si>
  <si>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</si>
  <si>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</si>
  <si>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</si>
  <si>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</si>
  <si>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</si>
  <si>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</si>
  <si>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</si>
  <si>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</si>
  <si>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</si>
  <si>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</si>
  <si>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</si>
  <si>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</si>
  <si>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</si>
  <si>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</si>
  <si>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</si>
  <si>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</si>
  <si>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</si>
  <si>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</si>
  <si>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</si>
  <si>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</si>
  <si>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</si>
  <si>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</si>
  <si>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</si>
  <si>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</si>
  <si>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</si>
  <si>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</si>
  <si>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</si>
  <si>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</si>
  <si>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</si>
  <si>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</si>
  <si>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</si>
  <si>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</si>
  <si>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</si>
  <si>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</si>
  <si>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</si>
  <si>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</si>
  <si>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</si>
  <si>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</si>
  <si>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</si>
  <si>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</si>
  <si>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</si>
  <si>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</si>
  <si>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</si>
  <si>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</si>
  <si>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</si>
  <si>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</si>
  <si>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</si>
  <si>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</si>
  <si>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</si>
  <si>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</si>
  <si>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</si>
  <si>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</si>
  <si>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</si>
  <si>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</si>
  <si>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</si>
  <si>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</si>
  <si>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</si>
  <si>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</si>
  <si>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</si>
  <si>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</si>
  <si>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</si>
  <si>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</si>
  <si>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</si>
  <si>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</si>
  <si>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</si>
  <si>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</si>
  <si>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</si>
  <si>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</si>
  <si>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</si>
  <si>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</si>
  <si>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</si>
  <si>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</si>
  <si>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</si>
  <si>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</si>
  <si>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</si>
  <si>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</si>
  <si>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</si>
  <si>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</si>
  <si>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</si>
  <si>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</si>
  <si>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</si>
  <si>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</si>
  <si>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</si>
  <si>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</si>
  <si>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</si>
  <si>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</si>
  <si>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</si>
  <si>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</si>
  <si>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</si>
  <si>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</si>
  <si>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</si>
  <si>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</si>
  <si>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</si>
  <si>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</si>
  <si>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</si>
  <si>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</si>
  <si>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</si>
  <si>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</si>
  <si>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</si>
  <si>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</si>
  <si>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</si>
  <si>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</si>
  <si>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</si>
  <si>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</si>
  <si>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</si>
  <si>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</si>
  <si>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</si>
  <si>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</si>
  <si>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</si>
  <si>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</si>
  <si>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</si>
  <si>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</si>
  <si>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</si>
  <si>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</si>
  <si>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</si>
  <si>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</si>
  <si>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</si>
  <si>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</si>
  <si>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</si>
  <si>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</si>
  <si>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</si>
  <si>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</si>
  <si>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</si>
  <si>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</si>
  <si>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</si>
  <si>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</si>
  <si>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</si>
  <si>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</si>
  <si>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</si>
  <si>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</si>
  <si>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</si>
  <si>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</si>
  <si>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</si>
  <si>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</si>
  <si>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</si>
  <si>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</si>
  <si>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</si>
  <si>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</si>
  <si>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</si>
  <si>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</si>
  <si>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</si>
  <si>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</si>
  <si>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</si>
  <si>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</si>
  <si>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</si>
  <si>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</si>
  <si>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</si>
  <si>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</si>
  <si>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</si>
  <si>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</si>
  <si>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</si>
  <si>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</si>
  <si>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</si>
  <si>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</si>
  <si>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</si>
  <si>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</si>
  <si>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</si>
  <si>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</si>
  <si>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</si>
  <si>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</si>
  <si>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</si>
  <si>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</si>
  <si>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</si>
  <si>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</si>
  <si>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</si>
  <si>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</si>
  <si>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</si>
  <si>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</si>
  <si>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</si>
  <si>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</si>
  <si>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</si>
  <si>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</si>
  <si>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</si>
  <si>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</si>
  <si>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</si>
  <si>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</si>
  <si>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</si>
  <si>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</si>
  <si>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</si>
  <si>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</si>
  <si>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</si>
  <si>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</si>
  <si>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</si>
  <si>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</si>
  <si>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</si>
  <si>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</si>
  <si>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</si>
  <si>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</si>
  <si>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</si>
  <si>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</si>
  <si>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</si>
  <si>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</si>
  <si>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</si>
  <si>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</si>
  <si>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</si>
  <si>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</si>
  <si>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</si>
  <si>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</si>
  <si>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</si>
  <si>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</si>
  <si>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</si>
  <si>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</si>
  <si>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</si>
  <si>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</si>
  <si>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</si>
  <si>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</si>
  <si>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</si>
  <si>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</si>
  <si>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</si>
  <si>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</si>
  <si>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</si>
  <si>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</si>
  <si>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</si>
  <si>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</si>
  <si>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</si>
  <si>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</si>
  <si>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</si>
  <si>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</si>
  <si>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</si>
  <si>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</si>
  <si>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</si>
  <si>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</si>
  <si>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</si>
  <si>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</si>
  <si>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</si>
  <si>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</si>
  <si>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</si>
  <si>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</si>
  <si>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</si>
  <si>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</si>
  <si>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</si>
  <si>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</si>
  <si>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</si>
  <si>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</si>
  <si>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</si>
  <si>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</si>
  <si>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</si>
  <si>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</si>
  <si>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</si>
  <si>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</si>
  <si>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</si>
  <si>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</si>
  <si>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</si>
  <si>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</si>
  <si>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</si>
  <si>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</si>
  <si>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</si>
  <si>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</si>
  <si>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</si>
  <si>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</si>
  <si>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</si>
  <si>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</si>
  <si>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</si>
  <si>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</si>
  <si>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</si>
  <si>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</si>
  <si>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</si>
  <si>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</si>
  <si>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</si>
  <si>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</si>
  <si>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</si>
  <si>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</si>
  <si>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</si>
  <si>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</si>
  <si>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</si>
  <si>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</si>
  <si>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</si>
  <si>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</si>
  <si>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</si>
  <si>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</si>
  <si>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</si>
  <si>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</si>
  <si>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</si>
  <si>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</si>
  <si>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</si>
  <si>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</si>
  <si>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</si>
  <si>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</si>
  <si>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</si>
  <si>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</si>
  <si>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</si>
  <si>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</si>
  <si>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</si>
  <si>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</si>
  <si>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</si>
  <si>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</si>
  <si>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</si>
  <si>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</si>
  <si>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</si>
  <si>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</si>
  <si>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</si>
  <si>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</si>
  <si>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</si>
  <si>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</si>
  <si>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</si>
  <si>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</si>
  <si>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</si>
  <si>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</si>
  <si>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</si>
  <si>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</si>
  <si>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</si>
  <si>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</si>
  <si>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</si>
  <si>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</si>
  <si>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</si>
  <si>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</si>
  <si>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</si>
  <si>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</si>
  <si>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</si>
  <si>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</si>
  <si>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</si>
  <si>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</si>
  <si>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</si>
  <si>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</si>
  <si>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</si>
  <si>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</si>
  <si>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</si>
  <si>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</si>
  <si>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</si>
  <si>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</si>
  <si>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</si>
  <si>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</si>
  <si>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</si>
  <si>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</si>
  <si>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</si>
  <si>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</si>
  <si>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</si>
  <si>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</si>
  <si>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</si>
  <si>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</si>
  <si>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</si>
  <si>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</si>
  <si>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</si>
  <si>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</si>
  <si>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</si>
  <si>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</si>
  <si>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</si>
  <si>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</si>
  <si>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</si>
  <si>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</si>
  <si>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</si>
  <si>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</si>
  <si>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</si>
  <si>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</si>
  <si>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</si>
  <si>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</si>
  <si>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</si>
  <si>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</si>
  <si>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</si>
  <si>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</si>
  <si>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</si>
  <si>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</si>
  <si>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</si>
  <si>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</si>
  <si>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</si>
  <si>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</si>
  <si>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</si>
  <si>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</si>
  <si>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</si>
  <si>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</si>
  <si>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</si>
  <si>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</si>
  <si>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</si>
  <si>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</si>
  <si>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</si>
  <si>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</si>
  <si>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</si>
  <si>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</si>
  <si>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</si>
  <si>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</si>
  <si>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</si>
  <si>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</si>
  <si>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</si>
  <si>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</si>
  <si>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</si>
  <si>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</si>
  <si>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</si>
  <si>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</si>
  <si>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</si>
  <si>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</si>
  <si>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</si>
  <si>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</si>
  <si>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</si>
  <si>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</si>
  <si>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</si>
  <si>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</si>
  <si>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</si>
  <si>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</si>
  <si>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</si>
  <si>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</si>
  <si>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</si>
  <si>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</si>
  <si>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</si>
  <si>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</si>
  <si>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</si>
  <si>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</si>
  <si>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</si>
  <si>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</si>
  <si>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</si>
  <si>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</si>
  <si>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</si>
  <si>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</si>
  <si>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</si>
  <si>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</si>
  <si>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</si>
  <si>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</si>
  <si>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</si>
  <si>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</si>
  <si>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</si>
  <si>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</si>
  <si>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</si>
  <si>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</si>
  <si>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</si>
  <si>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</si>
  <si>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</si>
  <si>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</si>
  <si>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</si>
  <si>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</si>
  <si>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</si>
  <si>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</si>
  <si>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</si>
  <si>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</si>
  <si>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</si>
  <si>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</si>
  <si>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</si>
  <si>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</si>
  <si>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</si>
  <si>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</si>
  <si>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</si>
  <si>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</si>
  <si>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</si>
  <si>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</si>
  <si>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</si>
  <si>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</si>
  <si>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</si>
  <si>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</si>
  <si>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</si>
  <si>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</si>
  <si>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</si>
  <si>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</si>
  <si>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</si>
  <si>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</si>
  <si>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</si>
  <si>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</si>
  <si>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</si>
  <si>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</si>
  <si>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</si>
  <si>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</si>
  <si>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</si>
  <si>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</si>
  <si>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</si>
  <si>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</si>
  <si>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</si>
  <si>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</si>
  <si>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</si>
  <si>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</si>
  <si>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</si>
  <si>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</si>
  <si>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</si>
  <si>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</si>
  <si>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</si>
  <si>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</si>
  <si>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</si>
  <si>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</si>
  <si>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</si>
  <si>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</si>
  <si>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</si>
  <si>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</si>
  <si>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</si>
  <si>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</si>
  <si>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</si>
  <si>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</si>
  <si>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</si>
  <si>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</si>
  <si>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</si>
  <si>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</si>
  <si>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</si>
  <si>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</si>
  <si>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</si>
  <si>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</si>
  <si>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</si>
  <si>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</si>
  <si>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</si>
  <si>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</si>
  <si>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</si>
  <si>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</si>
  <si>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</si>
  <si>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</si>
  <si>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</si>
  <si>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</si>
  <si>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</si>
  <si>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</si>
  <si>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</si>
  <si>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</si>
  <si>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</si>
  <si>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</si>
  <si>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</si>
  <si>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</si>
  <si>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</si>
  <si>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</si>
  <si>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</si>
  <si>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</si>
  <si>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</si>
  <si>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</si>
  <si>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</si>
  <si>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</si>
  <si>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</si>
  <si>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</si>
  <si>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</si>
  <si>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</si>
  <si>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</si>
  <si>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</si>
  <si>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</si>
  <si>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</si>
  <si>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</si>
  <si>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</si>
  <si>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</si>
  <si>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</si>
  <si>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</si>
  <si>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</si>
  <si>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</si>
  <si>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</si>
  <si>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</si>
  <si>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</si>
  <si>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</si>
  <si>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</si>
  <si>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</si>
  <si>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</si>
  <si>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</si>
  <si>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</si>
  <si>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</si>
  <si>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</si>
  <si>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</si>
  <si>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</si>
  <si>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</si>
  <si>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</si>
  <si>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</si>
  <si>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</si>
  <si>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</si>
  <si>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</si>
  <si>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</si>
  <si>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</si>
  <si>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</si>
  <si>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</si>
  <si>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</si>
  <si>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</si>
  <si>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</si>
  <si>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</si>
  <si>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</si>
  <si>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</si>
  <si>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</si>
  <si>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</si>
  <si>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</si>
  <si>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</si>
  <si>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</si>
  <si>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</si>
  <si>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</si>
  <si>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</si>
  <si>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</si>
  <si>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</si>
  <si>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</si>
  <si>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</si>
  <si>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</si>
  <si>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</si>
  <si>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</si>
  <si>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</si>
  <si>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</si>
  <si>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</si>
  <si>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</si>
  <si>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</si>
  <si>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</si>
  <si>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</si>
  <si>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</si>
  <si>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</si>
  <si>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</si>
  <si>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</si>
  <si>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</si>
  <si>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</si>
  <si>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</si>
  <si>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</si>
  <si>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</si>
  <si>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</si>
  <si>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</si>
  <si>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</si>
  <si>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</si>
  <si>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</si>
  <si>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</si>
  <si>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</si>
  <si>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</si>
  <si>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</si>
  <si>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</si>
  <si>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</si>
  <si>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</si>
  <si>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</si>
  <si>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</si>
  <si>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</si>
  <si>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</si>
  <si>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</si>
  <si>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</si>
  <si>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</si>
  <si>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</si>
  <si>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</si>
  <si>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</si>
  <si>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</si>
  <si>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</si>
  <si>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</si>
  <si>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</si>
  <si>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</si>
  <si>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</si>
  <si>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</si>
  <si>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</si>
  <si>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</si>
  <si>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</si>
  <si>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</si>
  <si>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</si>
  <si>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</si>
  <si>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</si>
  <si>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</si>
  <si>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</si>
  <si>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</si>
  <si>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</si>
  <si>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</si>
  <si>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</si>
  <si>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</si>
  <si>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</si>
  <si>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</si>
  <si>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</si>
  <si>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</si>
  <si>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</si>
  <si>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</si>
  <si>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</si>
  <si>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</si>
  <si>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</si>
  <si>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</si>
  <si>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</si>
  <si>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</si>
  <si>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</si>
  <si>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</si>
  <si>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</si>
  <si>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</si>
  <si>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</si>
  <si>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</si>
  <si>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</si>
  <si>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</si>
  <si>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</si>
  <si>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</si>
  <si>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</si>
  <si>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</si>
  <si>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</si>
  <si>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</si>
  <si>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</si>
  <si>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</si>
  <si>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</si>
  <si>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</si>
  <si>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</si>
  <si>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</si>
  <si>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</si>
  <si>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</si>
  <si>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</si>
  <si>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</si>
  <si>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</si>
  <si>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</si>
  <si>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</si>
  <si>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</si>
  <si>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</si>
  <si>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</si>
  <si>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</si>
  <si>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</si>
  <si>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</si>
  <si>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</si>
  <si>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</si>
  <si>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</si>
  <si>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</si>
  <si>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</si>
  <si>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</si>
  <si>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</si>
  <si>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</si>
  <si>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</si>
  <si>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</si>
  <si>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</si>
  <si>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</si>
  <si>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</si>
  <si>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</si>
  <si>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</si>
  <si>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</si>
  <si>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</si>
  <si>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</si>
  <si>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</si>
  <si>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</si>
  <si>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</si>
  <si>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</si>
  <si>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</si>
  <si>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</si>
  <si>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</si>
  <si>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</si>
  <si>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</si>
  <si>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</si>
  <si>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</si>
  <si>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</si>
  <si>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</si>
  <si>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</si>
  <si>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</si>
  <si>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</si>
  <si>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</si>
  <si>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</si>
  <si>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</si>
  <si>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</si>
  <si>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</si>
  <si>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</si>
  <si>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</si>
  <si>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</si>
  <si>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</si>
  <si>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</si>
  <si>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</si>
  <si>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</si>
  <si>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</si>
  <si>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</si>
  <si>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</si>
  <si>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</si>
  <si>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</si>
  <si>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</si>
  <si>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</si>
  <si>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</si>
  <si>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</si>
  <si>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</si>
  <si>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</si>
  <si>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</si>
  <si>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</si>
  <si>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</si>
  <si>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</si>
  <si>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</si>
  <si>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</si>
  <si>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</si>
  <si>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</si>
  <si>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</si>
  <si>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</si>
  <si>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</si>
  <si>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</si>
  <si>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</si>
  <si>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</si>
  <si>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</si>
  <si>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</si>
  <si>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</si>
  <si>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</si>
  <si>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</si>
  <si>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</si>
  <si>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</si>
  <si>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</si>
  <si>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</si>
  <si>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</si>
  <si>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</si>
  <si>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</si>
  <si>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</si>
  <si>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</si>
  <si>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</si>
  <si>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</si>
  <si>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</si>
  <si>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</si>
  <si>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</si>
  <si>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</si>
  <si>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</si>
  <si>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</si>
  <si>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</si>
  <si>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</si>
  <si>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</si>
  <si>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</si>
  <si>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</si>
  <si>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</si>
  <si>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</si>
  <si>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</si>
  <si>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</si>
  <si>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</si>
  <si>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</si>
  <si>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</si>
  <si>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</si>
  <si>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</si>
  <si>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</si>
  <si>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</si>
  <si>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</si>
  <si>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</si>
  <si>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</si>
  <si>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</si>
  <si>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</si>
  <si>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</si>
  <si>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</si>
  <si>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</si>
  <si>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</si>
  <si>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</si>
  <si>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</si>
  <si>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</si>
  <si>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</si>
  <si>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</si>
  <si>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</si>
  <si>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</si>
  <si>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</si>
  <si>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</si>
  <si>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</si>
  <si>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</si>
  <si>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</si>
  <si>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</si>
  <si>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</si>
  <si>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</si>
  <si>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</si>
  <si>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</si>
  <si>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</si>
  <si>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</si>
  <si>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</si>
  <si>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</si>
  <si>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</si>
  <si>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</si>
  <si>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</si>
  <si>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</si>
  <si>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</si>
  <si>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</si>
  <si>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</si>
  <si>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</si>
  <si>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</si>
  <si>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</si>
  <si>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</si>
  <si>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</si>
  <si>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</si>
  <si>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</si>
  <si>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</si>
  <si>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</si>
  <si>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</si>
  <si>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</si>
  <si>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</si>
  <si>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</si>
  <si>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</si>
  <si>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</si>
  <si>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</si>
  <si>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</si>
  <si>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</si>
  <si>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</si>
  <si>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</si>
  <si>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</si>
  <si>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</si>
  <si>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</si>
  <si>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</si>
  <si>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</si>
  <si>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</si>
  <si>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</si>
  <si>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</si>
  <si>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</si>
  <si>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</si>
  <si>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</si>
  <si>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</si>
  <si>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</si>
  <si>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</si>
  <si>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</si>
  <si>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</si>
  <si>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</si>
  <si>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</si>
  <si>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</si>
  <si>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</si>
  <si>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</si>
  <si>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</si>
  <si>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</si>
  <si>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</si>
  <si>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</si>
  <si>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</si>
  <si>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</si>
  <si>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</si>
  <si>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</si>
  <si>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</si>
  <si>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</si>
  <si>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</si>
  <si>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</si>
  <si>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</si>
  <si>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</si>
  <si>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</si>
  <si>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</si>
  <si>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</si>
  <si>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</si>
  <si>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</si>
  <si>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</si>
  <si>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</si>
  <si>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</si>
  <si>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</si>
  <si>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</si>
  <si>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</si>
  <si>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</si>
  <si>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</si>
  <si>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</si>
  <si>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</si>
  <si>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</si>
  <si>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</si>
  <si>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</si>
  <si>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</si>
  <si>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</si>
  <si>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</si>
  <si>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</si>
  <si>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</si>
  <si>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</si>
  <si>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</si>
  <si>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</si>
  <si>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</si>
  <si>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</si>
  <si>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</si>
  <si>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</si>
  <si>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</si>
  <si>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</si>
  <si>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</si>
  <si>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</si>
  <si>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</si>
  <si>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</si>
  <si>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</si>
  <si>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</si>
  <si>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</si>
  <si>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</si>
  <si>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</si>
  <si>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</si>
  <si>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</si>
  <si>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</si>
  <si>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</si>
  <si>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</si>
  <si>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</si>
  <si>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</si>
  <si>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</si>
  <si>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</si>
  <si>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</si>
  <si>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</si>
  <si>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</si>
  <si>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</si>
  <si>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</si>
  <si>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</si>
  <si>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</si>
  <si>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</si>
  <si>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</si>
  <si>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</si>
  <si>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</si>
  <si>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</si>
  <si>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</si>
  <si>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</si>
  <si>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</si>
  <si>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</si>
  <si>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</si>
  <si>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</si>
  <si>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</si>
  <si>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</si>
  <si>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</si>
  <si>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</si>
  <si>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</si>
  <si>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</si>
  <si>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</si>
  <si>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</si>
  <si>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</si>
  <si>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</si>
  <si>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</si>
  <si>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</si>
  <si>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</si>
  <si>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</si>
  <si>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</si>
  <si>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</si>
  <si>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</si>
  <si>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</si>
  <si>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</si>
  <si>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</si>
  <si>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</si>
  <si>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</si>
  <si>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</si>
  <si>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</si>
  <si>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</si>
  <si>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</si>
  <si>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</si>
  <si>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</si>
  <si>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</si>
  <si>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</si>
  <si>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</si>
  <si>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</si>
  <si>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</si>
  <si>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</si>
  <si>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</si>
  <si>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</si>
  <si>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</si>
  <si>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</si>
  <si>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</si>
  <si>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</si>
  <si>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</si>
  <si>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</si>
  <si>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</si>
  <si>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</si>
  <si>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</si>
  <si>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</si>
  <si>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</si>
  <si>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</si>
  <si>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</si>
  <si>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</si>
  <si>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</si>
  <si>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</si>
  <si>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</si>
  <si>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</si>
  <si>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</si>
  <si>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</si>
  <si>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</si>
  <si>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</si>
  <si>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</si>
  <si>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</si>
  <si>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</si>
  <si>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</si>
  <si>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</si>
  <si>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</si>
  <si>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</si>
  <si>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</si>
  <si>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</si>
  <si>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</si>
  <si>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</si>
  <si>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</si>
  <si>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</si>
  <si>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</si>
  <si>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</si>
  <si>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</si>
  <si>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</si>
  <si>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</si>
  <si>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</si>
  <si>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</si>
  <si>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</si>
  <si>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</si>
  <si>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</si>
  <si>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</si>
  <si>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</si>
  <si>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</si>
  <si>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</si>
  <si>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</si>
  <si>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</si>
  <si>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</si>
  <si>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</si>
  <si>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</si>
  <si>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</si>
  <si>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</si>
  <si>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</si>
  <si>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</si>
  <si>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</si>
  <si>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</si>
  <si>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</si>
  <si>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</si>
  <si>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</si>
  <si>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</si>
  <si>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</si>
  <si>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</si>
  <si>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</si>
  <si>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</si>
  <si>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</si>
  <si>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</si>
  <si>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</si>
  <si>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</si>
  <si>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</si>
  <si>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</si>
  <si>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</si>
  <si>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</si>
  <si>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</si>
  <si>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</si>
  <si>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</si>
  <si>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</si>
  <si>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</si>
  <si>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</si>
  <si>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</si>
  <si>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</si>
  <si>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</si>
  <si>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</si>
  <si>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</si>
  <si>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</si>
  <si>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</si>
  <si>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</si>
  <si>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</si>
  <si>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</si>
  <si>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</si>
  <si>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</si>
  <si>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</si>
  <si>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</si>
  <si>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</si>
  <si>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</si>
  <si>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</si>
  <si>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</si>
  <si>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</si>
  <si>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</si>
  <si>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</si>
  <si>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</si>
  <si>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</si>
  <si>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</si>
  <si>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</si>
  <si>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</si>
  <si>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</si>
  <si>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</si>
  <si>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</si>
  <si>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</si>
  <si>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</si>
  <si>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</si>
  <si>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</si>
  <si>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</si>
  <si>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</si>
  <si>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</si>
  <si>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</si>
  <si>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</si>
  <si>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</si>
  <si>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</si>
  <si>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</si>
  <si>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</si>
  <si>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</si>
  <si>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</si>
  <si>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</si>
  <si>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</si>
  <si>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</si>
  <si>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</si>
  <si>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</si>
  <si>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</si>
  <si>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</si>
  <si>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</si>
  <si>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</si>
  <si>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</si>
  <si>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</si>
  <si>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</si>
  <si>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</si>
  <si>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</si>
  <si>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</si>
  <si>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</si>
  <si>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</si>
  <si>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</si>
  <si>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</si>
  <si>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</si>
  <si>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</si>
  <si>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</si>
  <si>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</si>
  <si>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</si>
  <si>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</si>
  <si>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</si>
  <si>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</si>
  <si>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</si>
  <si>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</si>
  <si>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</si>
  <si>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</si>
  <si>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</si>
  <si>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</si>
  <si>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</si>
  <si>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</si>
  <si>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</si>
  <si>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</si>
  <si>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</si>
  <si>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</si>
  <si>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</si>
  <si>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</si>
  <si>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</si>
  <si>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</si>
  <si>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</si>
  <si>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</si>
  <si>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</si>
  <si>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</si>
  <si>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</si>
  <si>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</si>
  <si>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</si>
  <si>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</si>
  <si>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</si>
  <si>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</si>
  <si>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</si>
  <si>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</si>
  <si>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</si>
  <si>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</si>
  <si>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</si>
  <si>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</si>
  <si>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</si>
  <si>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</si>
  <si>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</si>
  <si>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</si>
  <si>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</si>
  <si>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</si>
  <si>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</si>
  <si>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</si>
  <si>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</si>
  <si>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</si>
  <si>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</si>
  <si>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</si>
  <si>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</si>
  <si>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</si>
  <si>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</si>
  <si>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</si>
  <si>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</si>
  <si>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</si>
  <si>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</si>
  <si>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</si>
  <si>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</si>
  <si>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</si>
  <si>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</si>
  <si>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</si>
  <si>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</si>
  <si>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</si>
  <si>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</si>
  <si>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</si>
  <si>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</si>
  <si>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</si>
  <si>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</si>
  <si>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</si>
  <si>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</si>
  <si>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</si>
  <si>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</si>
  <si>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</si>
  <si>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</si>
  <si>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</si>
  <si>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</si>
  <si>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</si>
  <si>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</si>
  <si>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</si>
  <si>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</si>
  <si>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</si>
  <si>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</si>
  <si>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</si>
  <si>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</si>
  <si>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</si>
  <si>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</si>
  <si>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</si>
  <si>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</si>
  <si>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</si>
  <si>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</si>
  <si>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</si>
  <si>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</si>
  <si>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</si>
  <si>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</si>
  <si>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</si>
  <si>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</si>
  <si>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</si>
  <si>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</si>
  <si>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</si>
  <si>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</si>
  <si>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</si>
  <si>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</si>
  <si>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</si>
  <si>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</si>
  <si>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</si>
  <si>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</si>
  <si>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</si>
  <si>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</si>
  <si>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</si>
  <si>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</si>
  <si>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</si>
  <si>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</si>
  <si>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</si>
  <si>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</si>
  <si>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</si>
  <si>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</si>
  <si>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</si>
  <si>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</si>
  <si>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</si>
  <si>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</si>
  <si>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</si>
  <si>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</si>
  <si>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</si>
  <si>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</si>
  <si>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</si>
  <si>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</si>
  <si>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</si>
  <si>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</si>
  <si>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</si>
  <si>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</si>
  <si>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</si>
  <si>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</si>
  <si>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</si>
  <si>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</si>
  <si>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</si>
  <si>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</si>
  <si>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</si>
  <si>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</si>
  <si>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</si>
  <si>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</si>
  <si>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</si>
  <si>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</si>
  <si>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</si>
  <si>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</si>
  <si>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</si>
  <si>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</si>
  <si>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</si>
  <si>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</si>
  <si>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</si>
  <si>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</si>
  <si>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</si>
  <si>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</si>
  <si>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</si>
  <si>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</si>
  <si>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</si>
  <si>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</si>
  <si>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</si>
  <si>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</si>
  <si>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</si>
  <si>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</si>
  <si>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</si>
  <si>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</si>
  <si>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</si>
  <si>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</si>
  <si>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</si>
  <si>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</si>
  <si>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</si>
  <si>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</si>
  <si>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</si>
  <si>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</si>
  <si>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</si>
  <si>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</si>
  <si>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</si>
  <si>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</si>
  <si>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</si>
  <si>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</si>
  <si>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</si>
  <si>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</si>
  <si>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</si>
  <si>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</si>
  <si>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</si>
  <si>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</si>
  <si>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</si>
  <si>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</si>
  <si>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</si>
  <si>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</si>
  <si>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</si>
  <si>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</si>
  <si>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</si>
  <si>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</si>
  <si>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</si>
  <si>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</si>
  <si>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</si>
  <si>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</si>
  <si>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</si>
  <si>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</si>
  <si>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</si>
  <si>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</si>
  <si>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</si>
  <si>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</si>
  <si>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</si>
  <si>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</si>
  <si>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</si>
  <si>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</si>
  <si>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</si>
  <si>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</si>
  <si>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</si>
  <si>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</si>
  <si>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</si>
  <si>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</si>
  <si>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</si>
  <si>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</si>
  <si>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</si>
  <si>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</si>
  <si>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</si>
  <si>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</si>
  <si>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</si>
  <si>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</si>
  <si>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</si>
  <si>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</si>
  <si>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</si>
  <si>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</si>
  <si>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</si>
  <si>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</si>
  <si>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</si>
  <si>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</si>
  <si>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</si>
  <si>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</si>
  <si>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</si>
  <si>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</si>
  <si>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</si>
  <si>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</si>
  <si>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</si>
  <si>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</si>
  <si>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</si>
  <si>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</si>
  <si>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</si>
  <si>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</si>
  <si>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</si>
  <si>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</si>
  <si>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</si>
  <si>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</si>
  <si>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</si>
  <si>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</si>
  <si>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</si>
  <si>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</si>
  <si>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</si>
  <si>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</si>
  <si>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</si>
  <si>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</si>
  <si>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</si>
  <si>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</si>
  <si>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</si>
  <si>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</si>
  <si>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</si>
  <si>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</si>
  <si>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</si>
  <si>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</si>
  <si>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</si>
  <si>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</si>
  <si>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</si>
  <si>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</si>
  <si>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</si>
  <si>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</si>
  <si>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</si>
  <si>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</si>
  <si>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</si>
  <si>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</si>
  <si>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</si>
  <si>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</si>
  <si>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</si>
  <si>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</si>
  <si>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</si>
  <si>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</si>
  <si>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</si>
  <si>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</si>
  <si>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</si>
  <si>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</si>
  <si>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</si>
  <si>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</si>
  <si>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</si>
  <si>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</si>
  <si>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</si>
  <si>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</si>
  <si>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</si>
  <si>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</si>
  <si>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</si>
  <si>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</si>
  <si>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</si>
  <si>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</si>
  <si>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</si>
  <si>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</si>
  <si>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</si>
  <si>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</si>
  <si>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</si>
  <si>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</si>
  <si>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</si>
  <si>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</si>
  <si>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</si>
  <si>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</si>
  <si>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</si>
  <si>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</si>
  <si>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</si>
  <si>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</si>
  <si>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</si>
  <si>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</si>
  <si>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</si>
  <si>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</si>
  <si>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</si>
  <si>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</si>
  <si>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</si>
  <si>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</si>
  <si>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</si>
  <si>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</si>
  <si>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</si>
  <si>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</si>
  <si>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</si>
  <si>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</si>
  <si>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</si>
  <si>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</si>
  <si>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</si>
  <si>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</si>
  <si>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</si>
  <si>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</si>
  <si>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</si>
  <si>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</si>
  <si>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</si>
  <si>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</si>
  <si>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</si>
  <si>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</si>
  <si>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</si>
  <si>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</si>
  <si>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</si>
  <si>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</si>
  <si>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</si>
  <si>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</si>
  <si>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</si>
  <si>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</si>
  <si>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</si>
  <si>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</si>
  <si>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</si>
  <si>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</si>
  <si>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</si>
  <si>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</si>
  <si>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</si>
  <si>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</si>
  <si>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</si>
  <si>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</si>
  <si>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</si>
  <si>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</si>
  <si>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</si>
  <si>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</si>
  <si>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</si>
  <si>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</si>
  <si>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</si>
  <si>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</si>
  <si>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</si>
  <si>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</si>
  <si>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</si>
  <si>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</si>
  <si>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</si>
  <si>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</si>
  <si>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</si>
  <si>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</si>
  <si>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</si>
  <si>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</si>
  <si>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</si>
  <si>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</si>
  <si>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</si>
  <si>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</si>
  <si>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</si>
  <si>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</si>
  <si>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</si>
  <si>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</si>
  <si>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</si>
  <si>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</si>
  <si>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</si>
  <si>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</si>
  <si>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</si>
  <si>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</si>
  <si>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</si>
  <si>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</si>
  <si>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</si>
  <si>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</si>
  <si>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</si>
  <si>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</si>
  <si>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</si>
  <si>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</si>
  <si>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</si>
  <si>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</si>
  <si>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</si>
  <si>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</si>
  <si>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</si>
  <si>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</si>
  <si>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</si>
  <si>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</si>
  <si>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</si>
  <si>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</si>
  <si>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</si>
  <si>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</si>
  <si>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</si>
  <si>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</si>
  <si>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</si>
  <si>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</si>
  <si>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</si>
  <si>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</si>
  <si>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</si>
  <si>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</si>
  <si>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</si>
  <si>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</si>
  <si>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</si>
  <si>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</si>
  <si>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</si>
  <si>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</si>
  <si>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</si>
  <si>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</si>
  <si>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</si>
  <si>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</si>
  <si>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</si>
  <si>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</si>
  <si>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</si>
  <si>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</si>
  <si>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</si>
  <si>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</si>
  <si>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</si>
  <si>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</si>
  <si>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</si>
  <si>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</si>
  <si>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</si>
  <si>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</si>
  <si>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</si>
  <si>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</si>
  <si>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</si>
  <si>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</si>
  <si>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</si>
  <si>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</si>
  <si>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</si>
  <si>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</si>
  <si>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</si>
  <si>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</si>
  <si>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</si>
  <si>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</si>
  <si>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</si>
  <si>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</si>
  <si>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</si>
  <si>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</si>
  <si>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</si>
  <si>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</si>
  <si>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</si>
  <si>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</si>
  <si>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</si>
  <si>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</si>
  <si>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</si>
  <si>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</si>
  <si>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</si>
  <si>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</si>
  <si>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</si>
  <si>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</si>
  <si>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</si>
  <si>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</si>
  <si>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</si>
  <si>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</si>
  <si>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</si>
  <si>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</si>
  <si>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</si>
  <si>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</si>
  <si>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</si>
  <si>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</si>
  <si>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</si>
  <si>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</si>
  <si>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</si>
  <si>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</si>
  <si>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</si>
  <si>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</si>
  <si>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</si>
  <si>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</si>
  <si>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</si>
  <si>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</si>
  <si>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</si>
  <si>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</si>
  <si>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</si>
  <si>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</si>
  <si>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</si>
  <si>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</si>
  <si>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</si>
  <si>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</si>
  <si>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</si>
  <si>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</si>
  <si>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</si>
  <si>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</si>
  <si>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</si>
  <si>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</si>
  <si>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</si>
  <si>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</si>
  <si>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</si>
  <si>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</si>
  <si>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</si>
  <si>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</si>
  <si>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</si>
  <si>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</si>
  <si>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</si>
  <si>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</si>
  <si>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</si>
  <si>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</si>
  <si>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</si>
  <si>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</si>
  <si>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</si>
  <si>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</si>
  <si>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</si>
  <si>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</si>
  <si>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</si>
  <si>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</si>
  <si>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</si>
  <si>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</si>
  <si>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</si>
  <si>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</si>
  <si>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</si>
  <si>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</si>
  <si>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</si>
  <si>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</si>
  <si>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</si>
  <si>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</si>
  <si>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</si>
  <si>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</si>
  <si>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</si>
  <si>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</si>
  <si>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</si>
  <si>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</si>
  <si>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</si>
  <si>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</si>
  <si>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</si>
  <si>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</si>
  <si>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</si>
  <si>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</si>
  <si>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</si>
  <si>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</si>
  <si>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</si>
  <si>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</si>
  <si>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</si>
  <si>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</si>
  <si>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</si>
  <si>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</si>
  <si>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</si>
  <si>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</si>
  <si>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</si>
  <si>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</si>
  <si>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</si>
  <si>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</si>
  <si>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</si>
  <si>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</si>
  <si>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</si>
  <si>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</si>
  <si>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</si>
  <si>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</si>
  <si>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</si>
  <si>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</si>
  <si>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</si>
  <si>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</si>
  <si>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</si>
  <si>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</si>
  <si>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</si>
  <si>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</si>
  <si>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</si>
  <si>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</si>
  <si>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</si>
  <si>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</si>
  <si>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</si>
  <si>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</si>
  <si>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</si>
  <si>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</si>
  <si>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</si>
  <si>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</si>
  <si>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</si>
  <si>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</si>
  <si>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</si>
  <si>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</si>
  <si>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</si>
  <si>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</si>
  <si>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</si>
  <si>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</si>
  <si>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</si>
  <si>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</si>
  <si>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</si>
  <si>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</si>
  <si>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</si>
  <si>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</si>
  <si>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</si>
  <si>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</si>
  <si>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</si>
  <si>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</si>
  <si>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</si>
  <si>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</si>
  <si>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</si>
  <si>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</si>
  <si>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</si>
  <si>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</si>
  <si>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</si>
  <si>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</si>
  <si>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</si>
  <si>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</si>
  <si>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</si>
  <si>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</si>
  <si>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</si>
  <si>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</si>
  <si>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</si>
  <si>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</si>
  <si>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</si>
  <si>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</si>
  <si>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</si>
  <si>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</si>
  <si>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</si>
  <si>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</si>
  <si>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</si>
  <si>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</si>
  <si>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</si>
  <si>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</si>
  <si>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</si>
  <si>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</si>
  <si>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</si>
  <si>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</si>
  <si>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</si>
  <si>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</si>
  <si>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</si>
  <si>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</si>
  <si>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</si>
  <si>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</si>
  <si>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</si>
  <si>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</si>
  <si>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</si>
  <si>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</si>
  <si>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</si>
  <si>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</si>
  <si>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</si>
  <si>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</si>
  <si>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</si>
  <si>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</si>
  <si>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</si>
  <si>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</si>
  <si>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</si>
  <si>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</si>
  <si>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</si>
  <si>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</si>
  <si>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</si>
  <si>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</si>
  <si>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</si>
  <si>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</si>
  <si>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</si>
  <si>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</si>
  <si>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</si>
  <si>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</si>
  <si>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</si>
  <si>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</si>
  <si>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</si>
  <si>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</si>
  <si>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</si>
  <si>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</si>
  <si>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</si>
  <si>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</si>
  <si>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</si>
  <si>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</si>
  <si>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</si>
  <si>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</si>
  <si>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</si>
  <si>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</si>
  <si>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</si>
  <si>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</si>
  <si>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</si>
  <si>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</si>
  <si>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</si>
  <si>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</si>
  <si>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</si>
  <si>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</si>
  <si>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</si>
  <si>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</si>
  <si>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</si>
  <si>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</si>
  <si>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</si>
  <si>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</si>
  <si>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</si>
  <si>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</si>
  <si>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</si>
  <si>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</si>
  <si>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</si>
  <si>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</si>
  <si>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</si>
  <si>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</si>
  <si>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</si>
  <si>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</si>
  <si>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</si>
  <si>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</si>
  <si>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</si>
  <si>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</si>
  <si>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</si>
  <si>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</si>
  <si>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</si>
  <si>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</si>
  <si>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</si>
  <si>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</si>
  <si>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</si>
  <si>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</si>
  <si>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</si>
  <si>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</si>
  <si>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</si>
  <si>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</si>
  <si>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</si>
  <si>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</si>
  <si>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</si>
  <si>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</si>
  <si>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</si>
  <si>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</si>
  <si>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</si>
  <si>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</si>
  <si>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</si>
  <si>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</si>
  <si>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</si>
  <si>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</si>
  <si>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</si>
  <si>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</si>
  <si>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</si>
  <si>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</si>
  <si>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</si>
  <si>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</si>
  <si>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</si>
  <si>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</si>
  <si>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</si>
  <si>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</si>
  <si>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</si>
  <si>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</si>
  <si>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</si>
  <si>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</si>
  <si>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</si>
  <si>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</si>
  <si>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</si>
  <si>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</si>
  <si>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</si>
  <si>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</si>
  <si>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</si>
  <si>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</si>
  <si>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</si>
  <si>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</si>
  <si>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</si>
  <si>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</si>
  <si>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</si>
  <si>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</si>
  <si>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</si>
  <si>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</si>
  <si>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</si>
  <si>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</si>
  <si>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</si>
  <si>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</si>
  <si>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</si>
  <si>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</si>
  <si>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</si>
  <si>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</si>
  <si>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</si>
  <si>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</si>
  <si>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</si>
  <si>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</si>
  <si>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</si>
  <si>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</si>
  <si>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</si>
  <si>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</si>
  <si>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</si>
  <si>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</si>
  <si>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</si>
  <si>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</si>
  <si>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</si>
  <si>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</si>
  <si>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</si>
  <si>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</si>
  <si>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</si>
  <si>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</si>
  <si>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</si>
  <si>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</si>
  <si>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</si>
  <si>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</si>
  <si>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</si>
  <si>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</si>
  <si>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</si>
  <si>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</si>
  <si>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</si>
  <si>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</si>
  <si>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</si>
  <si>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</si>
  <si>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</si>
  <si>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</si>
  <si>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</si>
  <si>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</si>
  <si>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</si>
  <si>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</si>
  <si>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</si>
  <si>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</si>
  <si>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</si>
  <si>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</si>
  <si>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</si>
  <si>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</si>
  <si>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</si>
  <si>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</si>
  <si>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</si>
  <si>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</si>
  <si>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</si>
  <si>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</si>
  <si>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</si>
  <si>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</si>
  <si>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</si>
  <si>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</si>
  <si>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</si>
  <si>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</si>
  <si>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</si>
  <si>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</si>
  <si>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</si>
  <si>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</si>
  <si>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</si>
  <si>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</si>
  <si>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</si>
  <si>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</si>
  <si>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</si>
  <si>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</si>
  <si>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</si>
  <si>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</si>
  <si>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</si>
  <si>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</si>
  <si>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</si>
  <si>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</si>
  <si>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</si>
  <si>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</si>
  <si>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</si>
  <si>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</si>
  <si>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</si>
  <si>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</si>
  <si>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</si>
  <si>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</si>
  <si>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</si>
  <si>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</si>
  <si>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</si>
  <si>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</si>
  <si>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</si>
  <si>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</si>
  <si>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</si>
  <si>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</si>
  <si>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</si>
  <si>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</si>
  <si>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</si>
  <si>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</si>
  <si>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</si>
  <si>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</si>
  <si>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</si>
  <si>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</si>
  <si>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</si>
  <si>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</si>
  <si>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</si>
  <si>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</si>
  <si>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</si>
  <si>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</si>
  <si>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</si>
  <si>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</si>
  <si>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</si>
  <si>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</si>
  <si>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</si>
  <si>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</si>
  <si>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</si>
  <si>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</si>
  <si>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</si>
  <si>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</si>
  <si>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</si>
  <si>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</si>
  <si>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</si>
  <si>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</si>
  <si>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</si>
  <si>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</si>
  <si>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</si>
  <si>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</si>
  <si>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</si>
  <si>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</si>
  <si>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</si>
  <si>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</si>
  <si>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</si>
  <si>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</si>
  <si>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</si>
  <si>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</si>
  <si>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</si>
  <si>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</si>
  <si>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</si>
  <si>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</si>
  <si>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</si>
  <si>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</si>
  <si>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</si>
  <si>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</si>
  <si>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</si>
  <si>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</si>
  <si>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</si>
  <si>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</si>
  <si>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</si>
  <si>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</si>
  <si>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</si>
  <si>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</si>
  <si>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</si>
  <si>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</si>
  <si>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</si>
  <si>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</si>
  <si>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</si>
  <si>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</si>
  <si>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</si>
  <si>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</si>
  <si>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</si>
  <si>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</si>
  <si>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</si>
  <si>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</si>
  <si>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</si>
  <si>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</si>
  <si>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</si>
  <si>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</si>
  <si>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</si>
  <si>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</si>
  <si>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</si>
  <si>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</si>
  <si>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</si>
  <si>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</si>
  <si>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</si>
  <si>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</si>
  <si>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</si>
  <si>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</si>
  <si>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</si>
  <si>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</si>
  <si>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</si>
  <si>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</si>
  <si>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</si>
  <si>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</si>
  <si>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</si>
  <si>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</si>
  <si>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</si>
  <si>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</si>
  <si>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</si>
  <si>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</si>
  <si>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</si>
  <si>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</si>
  <si>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</si>
  <si>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</si>
  <si>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</si>
  <si>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</si>
  <si>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</si>
  <si>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</si>
  <si>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</si>
  <si>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</si>
  <si>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</si>
  <si>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</si>
  <si>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</si>
  <si>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</si>
  <si>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</si>
  <si>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</si>
  <si>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</si>
  <si>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</si>
  <si>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</si>
  <si>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</si>
  <si>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</si>
  <si>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</si>
  <si>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</si>
  <si>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</si>
  <si>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</si>
  <si>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</si>
  <si>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</si>
  <si>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</si>
  <si>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</si>
  <si>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</si>
  <si>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</si>
  <si>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</si>
  <si>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</si>
  <si>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</si>
  <si>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</si>
  <si>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</si>
  <si>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</si>
  <si>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</si>
  <si>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</si>
  <si>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</si>
  <si>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</si>
  <si>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</si>
  <si>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</si>
  <si>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</si>
  <si>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</si>
  <si>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</si>
  <si>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</si>
  <si>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</si>
  <si>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</si>
  <si>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</si>
  <si>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</si>
  <si>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</si>
  <si>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</si>
  <si>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</si>
  <si>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</si>
  <si>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</si>
  <si>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</si>
  <si>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</si>
  <si>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</si>
  <si>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</si>
  <si>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</si>
  <si>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</si>
  <si>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</si>
  <si>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</si>
  <si>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</si>
  <si>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</si>
  <si>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</si>
  <si>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</si>
  <si>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</si>
  <si>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</si>
  <si>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</si>
  <si>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</si>
  <si>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</si>
  <si>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</si>
  <si>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</si>
  <si>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</si>
  <si>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</si>
  <si>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</si>
  <si>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</si>
  <si>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</si>
  <si>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</si>
  <si>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</si>
  <si>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</si>
  <si>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</si>
  <si>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</si>
  <si>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</si>
  <si>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</si>
  <si>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</si>
  <si>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</si>
  <si>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</si>
  <si>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</si>
  <si>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</si>
  <si>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</si>
  <si>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</si>
  <si>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</si>
  <si>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</si>
  <si>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</si>
  <si>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</si>
  <si>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</si>
  <si>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</si>
  <si>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</si>
  <si>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</si>
  <si>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</si>
  <si>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</si>
  <si>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</si>
  <si>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</si>
  <si>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</si>
  <si>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</si>
  <si>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</si>
  <si>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</si>
  <si>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</si>
  <si>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</si>
  <si>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</si>
  <si>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</si>
  <si>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</si>
  <si>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</si>
  <si>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</si>
  <si>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</si>
  <si>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</si>
  <si>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</si>
  <si>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</si>
  <si>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</si>
  <si>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</si>
  <si>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</si>
  <si>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</si>
  <si>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</si>
  <si>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</si>
  <si>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</si>
  <si>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</si>
  <si>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</si>
  <si>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</si>
  <si>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</si>
  <si>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</si>
  <si>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</si>
  <si>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</si>
  <si>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</si>
  <si>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</si>
  <si>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</si>
  <si>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</si>
  <si>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</si>
  <si>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</si>
  <si>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</si>
  <si>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</si>
  <si>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</si>
  <si>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</si>
  <si>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</si>
  <si>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</si>
  <si>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</si>
  <si>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</si>
  <si>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</si>
  <si>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</si>
  <si>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</si>
  <si>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</si>
  <si>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</si>
  <si>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</si>
  <si>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</si>
  <si>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</si>
  <si>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</si>
  <si>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</si>
  <si>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</si>
  <si>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</si>
  <si>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</si>
  <si>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</si>
  <si>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</si>
  <si>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</si>
  <si>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</si>
  <si>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</si>
  <si>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</si>
  <si>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</si>
  <si>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</si>
  <si>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</si>
  <si>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</si>
  <si>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</si>
  <si>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</si>
  <si>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</si>
  <si>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</si>
  <si>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</si>
  <si>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</si>
  <si>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</si>
  <si>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</si>
  <si>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</si>
  <si>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</si>
  <si>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</si>
  <si>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</si>
  <si>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</si>
  <si>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</si>
  <si>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</si>
  <si>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</si>
  <si>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</si>
  <si>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</si>
  <si>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</si>
  <si>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</si>
  <si>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</si>
  <si>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</si>
  <si>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</si>
  <si>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</si>
  <si>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</si>
  <si>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</si>
  <si>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</si>
  <si>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</si>
  <si>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</si>
  <si>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</si>
  <si>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</si>
  <si>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</si>
  <si>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</si>
  <si>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</si>
  <si>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</si>
  <si>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</si>
  <si>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</si>
  <si>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</si>
  <si>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</si>
  <si>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</si>
  <si>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</si>
  <si>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</si>
  <si>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</si>
  <si>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</si>
  <si>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</si>
  <si>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</si>
  <si>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</si>
  <si>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</si>
  <si>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</si>
  <si>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</si>
  <si>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</si>
  <si>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</si>
  <si>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</si>
  <si>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</si>
  <si>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</si>
  <si>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</si>
  <si>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</si>
  <si>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</si>
  <si>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</si>
  <si>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</si>
  <si>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</si>
  <si>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</si>
  <si>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</si>
  <si>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</si>
  <si>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</si>
  <si>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</si>
  <si>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</si>
  <si>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</si>
  <si>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</si>
  <si>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</si>
  <si>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</si>
  <si>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</si>
  <si>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</si>
  <si>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</si>
  <si>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</si>
  <si>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</si>
  <si>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</si>
  <si>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</si>
  <si>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</si>
  <si>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</si>
  <si>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</si>
  <si>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</si>
  <si>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</si>
  <si>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</si>
  <si>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</si>
  <si>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</si>
  <si>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</si>
  <si>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</si>
  <si>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</si>
  <si>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</si>
  <si>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</si>
  <si>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</si>
  <si>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</si>
  <si>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</si>
  <si>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</si>
  <si>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</si>
  <si>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</si>
  <si>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</si>
  <si>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</si>
  <si>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</si>
  <si>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</si>
  <si>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</si>
  <si>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</si>
  <si>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</si>
  <si>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</si>
  <si>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</si>
  <si>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</si>
  <si>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</si>
  <si>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</si>
  <si>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</si>
  <si>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</si>
  <si>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</si>
  <si>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</si>
  <si>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</si>
  <si>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</si>
  <si>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</si>
  <si>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</si>
  <si>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</si>
  <si>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</si>
  <si>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</si>
  <si>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</si>
  <si>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</si>
  <si>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</si>
  <si>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</si>
  <si>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</si>
  <si>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</si>
  <si>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</si>
  <si>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</si>
  <si>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</si>
  <si>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</si>
  <si>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</si>
  <si>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</si>
  <si>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</si>
  <si>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</si>
  <si>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</si>
  <si>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</si>
  <si>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</si>
  <si>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</si>
  <si>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</si>
  <si>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</si>
  <si>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</si>
  <si>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</si>
  <si>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</si>
  <si>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</si>
  <si>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</si>
  <si>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</si>
  <si>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</si>
  <si>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</si>
  <si>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</si>
  <si>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</si>
  <si>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</si>
  <si>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</si>
  <si>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</si>
  <si>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</si>
  <si>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</si>
  <si>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</si>
  <si>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</si>
  <si>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</si>
  <si>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</si>
  <si>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</si>
  <si>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</si>
  <si>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</si>
  <si>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</si>
  <si>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</si>
  <si>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</si>
  <si>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</si>
  <si>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</si>
  <si>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</si>
  <si>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</si>
  <si>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</si>
  <si>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</si>
  <si>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</si>
  <si>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</si>
  <si>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</si>
  <si>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</si>
  <si>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</si>
  <si>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</si>
  <si>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</si>
  <si>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</si>
  <si>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</si>
  <si>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</si>
  <si>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</si>
  <si>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</si>
  <si>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</si>
  <si>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</si>
  <si>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</si>
  <si>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</si>
  <si>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</si>
  <si>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</si>
  <si>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</si>
  <si>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</si>
  <si>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</si>
  <si>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</si>
  <si>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</si>
  <si>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</si>
  <si>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</si>
  <si>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</si>
  <si>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</si>
  <si>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</si>
  <si>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</si>
  <si>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</si>
  <si>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</si>
  <si>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</si>
  <si>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</si>
  <si>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</si>
  <si>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</si>
  <si>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</si>
  <si>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</si>
  <si>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</si>
  <si>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</si>
  <si>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</si>
  <si>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</si>
  <si>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</si>
  <si>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</si>
  <si>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</si>
  <si>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</si>
  <si>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</si>
  <si>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</si>
  <si>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</si>
  <si>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</si>
  <si>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</si>
  <si>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</si>
  <si>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</si>
  <si>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</si>
  <si>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</si>
  <si>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</si>
  <si>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</si>
  <si>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</si>
  <si>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</si>
  <si>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</si>
  <si>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</si>
  <si>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</si>
  <si>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</si>
  <si>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</si>
  <si>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</si>
  <si>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</si>
  <si>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</si>
  <si>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</si>
  <si>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</si>
  <si>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</si>
  <si>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</si>
  <si>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</si>
  <si>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</si>
  <si>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</si>
  <si>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</si>
  <si>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</si>
  <si>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</si>
  <si>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</si>
  <si>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</si>
  <si>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</si>
  <si>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</si>
  <si>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</si>
  <si>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</si>
  <si>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</si>
  <si>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</si>
  <si>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</si>
  <si>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</si>
  <si>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</si>
  <si>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</si>
  <si>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</si>
  <si>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</si>
  <si>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</si>
  <si>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</si>
  <si>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</si>
  <si>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</si>
  <si>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</si>
  <si>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</si>
  <si>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</si>
  <si>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</si>
  <si>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</si>
  <si>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</si>
  <si>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</si>
  <si>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</si>
  <si>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</si>
  <si>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</si>
  <si>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</si>
  <si>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</si>
  <si>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</si>
  <si>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</si>
  <si>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</si>
  <si>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</si>
  <si>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</si>
  <si>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</si>
  <si>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</si>
  <si>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</si>
  <si>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</si>
  <si>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</si>
  <si>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</si>
  <si>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</si>
  <si>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</si>
  <si>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</si>
  <si>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</si>
  <si>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</si>
  <si>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</si>
  <si>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</si>
  <si>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</si>
  <si>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</si>
  <si>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</si>
  <si>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</si>
  <si>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</si>
  <si>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</si>
  <si>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</si>
  <si>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</si>
  <si>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</si>
  <si>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</si>
  <si>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</si>
  <si>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</si>
  <si>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</si>
  <si>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</si>
  <si>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</si>
  <si>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</si>
  <si>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</si>
  <si>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</si>
  <si>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</si>
  <si>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</si>
  <si>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</si>
  <si>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</si>
  <si>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</si>
  <si>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</si>
  <si>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</si>
  <si>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</si>
  <si>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</si>
  <si>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</si>
  <si>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</si>
  <si>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</si>
  <si>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</si>
  <si>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</si>
  <si>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</si>
  <si>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</si>
  <si>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</si>
  <si>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</si>
  <si>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</si>
  <si>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</si>
  <si>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</si>
  <si>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</si>
  <si>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</si>
  <si>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</si>
  <si>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</si>
  <si>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</si>
  <si>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</si>
  <si>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</si>
  <si>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</si>
  <si>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</si>
  <si>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</si>
  <si>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</si>
  <si>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</si>
  <si>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</si>
  <si>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</si>
  <si>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</si>
  <si>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</si>
  <si>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</si>
  <si>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</si>
  <si>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</si>
  <si>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</si>
  <si>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</si>
  <si>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</si>
  <si>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</si>
  <si>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</si>
  <si>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</si>
  <si>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</si>
  <si>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</si>
  <si>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</si>
  <si>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</si>
  <si>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</si>
  <si>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</si>
  <si>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</si>
  <si>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</si>
  <si>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</si>
  <si>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</si>
  <si>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</si>
  <si>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</si>
  <si>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</si>
  <si>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</si>
  <si>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</si>
  <si>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</si>
  <si>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</si>
  <si>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</si>
  <si>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</si>
  <si>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</si>
  <si>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</si>
  <si>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</si>
  <si>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</si>
  <si>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</si>
  <si>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</si>
  <si>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</si>
  <si>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</si>
  <si>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</si>
  <si>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</si>
  <si>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</si>
  <si>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</si>
  <si>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</si>
  <si>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</si>
  <si>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</si>
  <si>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</si>
  <si>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</si>
  <si>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</si>
  <si>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</si>
  <si>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</si>
  <si>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</si>
  <si>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</si>
  <si>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</si>
  <si>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</si>
  <si>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</si>
  <si>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</si>
  <si>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</si>
  <si>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</si>
  <si>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</si>
  <si>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</si>
  <si>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</si>
  <si>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</si>
  <si>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</si>
  <si>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</si>
  <si>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</si>
  <si>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</si>
  <si>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</si>
  <si>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</si>
  <si>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</si>
  <si>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</si>
  <si>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</si>
  <si>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</si>
  <si>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</si>
  <si>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</si>
  <si>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</si>
  <si>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</si>
  <si>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</si>
  <si>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</si>
  <si>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</si>
  <si>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</si>
  <si>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</si>
  <si>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</si>
  <si>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</si>
  <si>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</si>
  <si>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</si>
  <si>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</si>
  <si>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</si>
  <si>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</si>
  <si>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</si>
  <si>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</si>
  <si>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</si>
  <si>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</si>
  <si>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</si>
  <si>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</si>
  <si>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</si>
  <si>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</si>
  <si>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</si>
  <si>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</si>
  <si>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</si>
  <si>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</si>
  <si>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</si>
  <si>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</si>
  <si>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</si>
  <si>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</si>
  <si>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</si>
  <si>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</si>
  <si>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</si>
  <si>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</si>
  <si>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</si>
  <si>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</si>
  <si>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</si>
  <si>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</si>
  <si>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</si>
  <si>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</si>
  <si>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</si>
  <si>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</si>
  <si>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</si>
  <si>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</si>
  <si>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</si>
  <si>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</si>
  <si>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</si>
  <si>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</si>
  <si>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</si>
  <si>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</si>
  <si>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</si>
  <si>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</si>
  <si>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</si>
  <si>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</si>
  <si>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</si>
  <si>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</si>
  <si>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</si>
  <si>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</si>
  <si>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</si>
  <si>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</si>
  <si>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</si>
  <si>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</si>
  <si>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</si>
  <si>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</si>
  <si>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</si>
  <si>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</si>
  <si>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</si>
  <si>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</si>
  <si>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</si>
  <si>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</si>
  <si>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</si>
  <si>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</si>
  <si>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</si>
  <si>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</si>
  <si>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</si>
  <si>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</si>
  <si>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</si>
  <si>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</si>
  <si>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</si>
  <si>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</si>
  <si>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</si>
  <si>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</si>
  <si>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</si>
  <si>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</si>
  <si>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</si>
  <si>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</si>
  <si>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</si>
  <si>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</si>
  <si>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</si>
  <si>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</si>
  <si>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</si>
  <si>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</si>
  <si>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</si>
  <si>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</si>
  <si>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</si>
  <si>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</si>
  <si>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</si>
  <si>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</si>
  <si>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</si>
  <si>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</si>
  <si>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</si>
  <si>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</si>
  <si>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</si>
  <si>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</si>
  <si>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</si>
  <si>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</si>
  <si>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</si>
  <si>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</si>
  <si>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</si>
  <si>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</si>
  <si>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</si>
  <si>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</si>
  <si>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</si>
  <si>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</si>
  <si>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</si>
  <si>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</si>
  <si>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</si>
  <si>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</si>
  <si>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</si>
  <si>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</si>
  <si>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</si>
  <si>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</si>
  <si>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</si>
  <si>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</si>
  <si>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</si>
  <si>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</si>
  <si>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</si>
  <si>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</si>
  <si>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</si>
  <si>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</si>
  <si>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</si>
  <si>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</si>
  <si>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</si>
  <si>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</si>
  <si>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</si>
  <si>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</si>
  <si>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</si>
  <si>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</si>
  <si>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</si>
  <si>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</si>
  <si>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</si>
  <si>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</si>
  <si>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</si>
  <si>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</si>
  <si>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</si>
  <si>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</si>
  <si>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</si>
  <si>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</si>
  <si>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</si>
  <si>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</si>
  <si>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</si>
  <si>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</si>
  <si>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</si>
  <si>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</si>
  <si>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</si>
  <si>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</si>
  <si>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</si>
  <si>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</si>
  <si>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</si>
  <si>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</si>
  <si>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</si>
  <si>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</si>
  <si>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</si>
  <si>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</si>
  <si>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</si>
  <si>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</si>
  <si>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</si>
  <si>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</si>
  <si>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</si>
  <si>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</si>
  <si>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</si>
  <si>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</si>
  <si>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</si>
  <si>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</si>
  <si>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</si>
  <si>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</si>
  <si>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</si>
  <si>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</si>
  <si>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</si>
  <si>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</si>
  <si>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</si>
  <si>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</si>
  <si>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</si>
  <si>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</si>
  <si>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</si>
  <si>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</si>
  <si>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</si>
  <si>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</si>
  <si>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</si>
  <si>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</si>
  <si>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</si>
  <si>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</si>
  <si>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</si>
  <si>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</si>
  <si>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</si>
  <si>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</si>
  <si>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</si>
  <si>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</si>
  <si>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</si>
  <si>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</si>
  <si>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</si>
  <si>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</si>
  <si>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</si>
  <si>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</si>
  <si>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</si>
  <si>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</si>
  <si>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</si>
  <si>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</si>
  <si>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</si>
  <si>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</si>
  <si>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</si>
  <si>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</si>
  <si>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</si>
  <si>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</si>
  <si>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</si>
  <si>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</si>
  <si>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</si>
  <si>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</si>
  <si>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</si>
  <si>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</si>
  <si>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</si>
  <si>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</si>
  <si>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</si>
  <si>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</si>
  <si>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</si>
  <si>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</si>
  <si>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</si>
  <si>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</si>
  <si>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</si>
  <si>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</si>
  <si>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</si>
  <si>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</si>
  <si>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</si>
  <si>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</si>
  <si>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</si>
  <si>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</si>
  <si>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</si>
  <si>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</si>
  <si>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</si>
  <si>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</si>
  <si>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</si>
  <si>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</si>
  <si>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</si>
  <si>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</si>
  <si>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</si>
  <si>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</si>
  <si>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</si>
  <si>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</si>
  <si>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</si>
  <si>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</si>
  <si>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</si>
  <si>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</si>
  <si>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</si>
  <si>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</si>
  <si>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</si>
  <si>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</si>
  <si>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</si>
  <si>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</si>
  <si>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</si>
  <si>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</si>
  <si>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</si>
  <si>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</si>
  <si>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</si>
  <si>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</si>
  <si>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</si>
  <si>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</si>
  <si>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</si>
  <si>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</si>
  <si>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</si>
  <si>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</si>
  <si>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</si>
  <si>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</si>
  <si>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</si>
  <si>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</si>
  <si>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</si>
  <si>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</si>
  <si>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</si>
  <si>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</si>
  <si>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</si>
  <si>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</si>
  <si>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</si>
  <si>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</si>
  <si>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</si>
  <si>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</si>
  <si>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</si>
  <si>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</si>
  <si>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</si>
  <si>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</si>
  <si>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</si>
  <si>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</si>
  <si>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</si>
  <si>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</si>
  <si>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</si>
  <si>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</si>
  <si>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</si>
  <si>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</si>
  <si>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</si>
  <si>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</si>
  <si>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</si>
  <si>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</si>
  <si>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</si>
  <si>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</si>
  <si>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</si>
  <si>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</si>
  <si>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</si>
  <si>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</si>
  <si>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</si>
  <si>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</si>
  <si>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</si>
  <si>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</si>
  <si>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</si>
  <si>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</si>
  <si>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</si>
  <si>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</si>
  <si>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</si>
  <si>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</si>
  <si>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</si>
  <si>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</si>
  <si>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</si>
  <si>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</si>
  <si>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</si>
  <si>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</si>
  <si>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</si>
  <si>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</si>
  <si>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</si>
  <si>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</si>
  <si>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</si>
  <si>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</si>
  <si>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</si>
  <si>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</si>
  <si>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</si>
  <si>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</si>
  <si>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</si>
  <si>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</si>
  <si>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</si>
  <si>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</si>
  <si>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</si>
  <si>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</si>
  <si>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</si>
  <si>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</si>
  <si>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</si>
  <si>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</si>
  <si>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</si>
  <si>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</si>
  <si>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</si>
  <si>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</si>
  <si>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</si>
  <si>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</si>
  <si>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</si>
  <si>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</si>
  <si>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</si>
  <si>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</si>
  <si>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</si>
  <si>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</si>
  <si>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</si>
  <si>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</si>
  <si>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</si>
  <si>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</si>
  <si>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</si>
  <si>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</si>
  <si>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</si>
  <si>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</si>
  <si>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</si>
  <si>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</si>
  <si>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</si>
  <si>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</si>
  <si>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</si>
  <si>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</si>
  <si>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</si>
  <si>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</si>
  <si>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</si>
  <si>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</si>
  <si>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</si>
  <si>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</si>
  <si>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</si>
  <si>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</si>
  <si>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</si>
  <si>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</si>
  <si>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</si>
  <si>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</si>
  <si>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</si>
  <si>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</si>
  <si>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</si>
  <si>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</si>
  <si>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</si>
  <si>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</si>
  <si>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</si>
  <si>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</si>
  <si>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</si>
  <si>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</si>
  <si>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</si>
  <si>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</si>
  <si>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</si>
  <si>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</si>
  <si>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</si>
  <si>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</si>
  <si>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</si>
  <si>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</si>
  <si>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</si>
  <si>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</si>
  <si>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</si>
  <si>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</si>
  <si>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</si>
  <si>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</si>
  <si>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</si>
  <si>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</si>
  <si>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</si>
  <si>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</si>
  <si>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</si>
  <si>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</si>
  <si>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</si>
  <si>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</si>
  <si>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</si>
  <si>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</si>
  <si>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</si>
  <si>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</si>
  <si>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</si>
  <si>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</si>
  <si>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</si>
  <si>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</si>
  <si>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</si>
  <si>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</si>
  <si>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</si>
  <si>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</si>
  <si>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</si>
  <si>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</si>
  <si>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</si>
  <si>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</si>
  <si>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</si>
  <si>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</si>
  <si>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</si>
  <si>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</si>
  <si>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</si>
  <si>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</si>
  <si>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</si>
  <si>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</si>
  <si>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</si>
  <si>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</si>
  <si>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</si>
  <si>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</si>
  <si>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</si>
  <si>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</si>
  <si>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</si>
  <si>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</si>
  <si>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</si>
  <si>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</si>
  <si>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</si>
  <si>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</si>
  <si>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</si>
  <si>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</si>
  <si>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</si>
  <si>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</si>
  <si>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</si>
  <si>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</si>
  <si>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</si>
  <si>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</si>
  <si>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</si>
  <si>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</si>
  <si>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</si>
  <si>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</si>
  <si>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</si>
  <si>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</si>
  <si>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</si>
  <si>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</si>
  <si>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</si>
  <si>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</si>
  <si>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</si>
  <si>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</si>
  <si>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</si>
  <si>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</si>
  <si>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</si>
  <si>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</si>
  <si>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</si>
  <si>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</si>
  <si>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</si>
  <si>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</si>
  <si>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</si>
  <si>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</si>
  <si>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</si>
  <si>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</si>
  <si>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</si>
  <si>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</si>
  <si>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</si>
  <si>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</si>
  <si>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</si>
  <si>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</si>
  <si>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</si>
  <si>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</si>
  <si>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</si>
  <si>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</si>
  <si>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</si>
  <si>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</si>
  <si>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</si>
  <si>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</si>
  <si>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</si>
  <si>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</si>
  <si>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</si>
  <si>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</si>
  <si>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</si>
  <si>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</si>
  <si>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</si>
  <si>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</si>
  <si>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</si>
  <si>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</si>
  <si>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</si>
  <si>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</si>
  <si>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</si>
  <si>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</si>
  <si>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</si>
  <si>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</si>
  <si>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</si>
  <si>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</si>
  <si>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</si>
  <si>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</si>
  <si>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</si>
  <si>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</si>
  <si>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</si>
  <si>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</si>
  <si>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</si>
  <si>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</si>
  <si>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</si>
  <si>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</si>
  <si>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</si>
  <si>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</si>
  <si>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</si>
  <si>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</si>
  <si>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</si>
  <si>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</si>
  <si>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</si>
  <si>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</si>
  <si>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</si>
  <si>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</si>
  <si>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</si>
  <si>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</si>
  <si>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</si>
  <si>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</si>
  <si>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</si>
  <si>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</si>
  <si>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</si>
  <si>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</si>
  <si>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</si>
  <si>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</si>
  <si>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</si>
  <si>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</si>
  <si>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</si>
  <si>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</si>
  <si>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</si>
  <si>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</si>
  <si>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</si>
  <si>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</si>
  <si>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</si>
  <si>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</si>
  <si>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</si>
  <si>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</si>
  <si>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</si>
  <si>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</si>
  <si>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</si>
  <si>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</si>
  <si>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</si>
  <si>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</si>
  <si>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</si>
  <si>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</si>
  <si>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</si>
  <si>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</si>
  <si>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</si>
  <si>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</si>
  <si>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</si>
  <si>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</si>
  <si>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</si>
  <si>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</si>
  <si>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</si>
  <si>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</si>
  <si>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</si>
  <si>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</si>
  <si>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</si>
  <si>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</si>
  <si>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</si>
  <si>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</si>
  <si>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</si>
  <si>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</si>
  <si>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</si>
  <si>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</si>
  <si>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</si>
  <si>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</si>
  <si>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</si>
  <si>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</si>
  <si>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</si>
  <si>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</si>
  <si>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</si>
  <si>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</si>
  <si>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</si>
  <si>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</si>
  <si>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</si>
  <si>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</si>
  <si>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</si>
  <si>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</si>
  <si>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</si>
  <si>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</si>
  <si>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</si>
  <si>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</si>
  <si>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</si>
  <si>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</si>
  <si>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</si>
  <si>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</si>
  <si>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</si>
  <si>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</si>
  <si>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</si>
  <si>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</si>
  <si>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</si>
  <si>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</si>
  <si>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</si>
  <si>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</si>
  <si>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</si>
  <si>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</si>
  <si>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</si>
  <si>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</si>
  <si>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</si>
  <si>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</si>
  <si>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</si>
  <si>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</si>
  <si>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</si>
  <si>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</si>
  <si>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</si>
  <si>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</si>
  <si>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</si>
  <si>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</si>
  <si>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</si>
  <si>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</si>
  <si>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</si>
  <si>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</si>
  <si>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</si>
  <si>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</si>
  <si>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</si>
  <si>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</si>
  <si>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</si>
  <si>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</si>
  <si>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</si>
  <si>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</si>
  <si>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</si>
  <si>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</si>
  <si>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</si>
  <si>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</si>
  <si>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</si>
  <si>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</si>
  <si>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</si>
  <si>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</si>
  <si>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</si>
  <si>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</si>
  <si>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</si>
  <si>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</si>
  <si>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</si>
  <si>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</si>
  <si>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</si>
  <si>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</si>
  <si>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</si>
  <si>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</si>
  <si>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</si>
  <si>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</si>
  <si>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</si>
  <si>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</si>
  <si>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</si>
  <si>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</si>
  <si>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</si>
  <si>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</si>
  <si>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</si>
  <si>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</si>
  <si>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</si>
  <si>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</si>
  <si>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</si>
  <si>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</si>
  <si>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</si>
  <si>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</si>
  <si>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</si>
  <si>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</si>
  <si>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</si>
  <si>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</si>
  <si>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</si>
  <si>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</si>
  <si>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</si>
  <si>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</si>
  <si>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</si>
  <si>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</si>
  <si>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</si>
  <si>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</si>
  <si>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</si>
  <si>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</si>
  <si>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</si>
  <si>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</si>
  <si>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</si>
  <si>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</si>
  <si>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</si>
  <si>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</si>
  <si>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</si>
  <si>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</si>
  <si>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</si>
  <si>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</si>
  <si>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</si>
  <si>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</si>
  <si>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</si>
  <si>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</si>
  <si>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</si>
  <si>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</si>
  <si>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</si>
  <si>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</si>
  <si>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</si>
  <si>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</si>
  <si>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</si>
  <si>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</si>
  <si>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</si>
  <si>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</si>
  <si>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</si>
  <si>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</si>
  <si>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</si>
  <si>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</si>
  <si>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</si>
  <si>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</si>
  <si>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</si>
  <si>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</si>
  <si>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</si>
  <si>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</si>
  <si>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</si>
  <si>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</si>
  <si>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</si>
  <si>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</si>
  <si>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</si>
  <si>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</si>
  <si>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</si>
  <si>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</si>
  <si>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</si>
  <si>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</si>
  <si>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</si>
  <si>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</si>
  <si>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</si>
  <si>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</si>
  <si>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</si>
  <si>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</si>
  <si>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</si>
  <si>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</si>
  <si>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</si>
  <si>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</si>
  <si>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</si>
  <si>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</si>
  <si>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</si>
  <si>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</si>
  <si>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</si>
  <si>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</si>
  <si>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</si>
  <si>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</si>
  <si>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</si>
  <si>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</si>
  <si>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</si>
  <si>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</si>
  <si>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</si>
  <si>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</si>
  <si>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</si>
  <si>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</si>
  <si>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</si>
  <si>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</si>
  <si>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</si>
  <si>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</si>
  <si>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</si>
  <si>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</si>
  <si>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</si>
  <si>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</si>
  <si>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</si>
  <si>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</si>
  <si>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</si>
  <si>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</si>
  <si>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</si>
  <si>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</si>
  <si>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</si>
  <si>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</si>
  <si>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</si>
  <si>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</si>
  <si>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</si>
  <si>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</si>
  <si>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</si>
  <si>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</si>
  <si>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</si>
  <si>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</si>
  <si>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</si>
  <si>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</si>
  <si>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</si>
  <si>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</si>
  <si>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</si>
  <si>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</si>
  <si>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</si>
  <si>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</si>
  <si>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</si>
  <si>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</si>
  <si>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</si>
  <si>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</si>
  <si>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</si>
  <si>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</si>
  <si>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</si>
  <si>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</si>
  <si>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</si>
  <si>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</si>
  <si>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</si>
  <si>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</si>
  <si>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</si>
  <si>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</si>
  <si>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</si>
  <si>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</si>
  <si>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</si>
  <si>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</si>
  <si>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</si>
  <si>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</si>
  <si>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</si>
  <si>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</si>
  <si>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</si>
  <si>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</si>
  <si>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</si>
  <si>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</si>
  <si>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</si>
  <si>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</si>
  <si>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</si>
  <si>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</si>
  <si>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</si>
  <si>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</si>
  <si>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</si>
  <si>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</si>
  <si>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</si>
  <si>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</si>
  <si>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</si>
  <si>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</si>
  <si>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</si>
  <si>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</si>
  <si>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</si>
  <si>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</si>
  <si>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</si>
  <si>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</si>
  <si>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</si>
  <si>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</si>
  <si>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</si>
  <si>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</si>
  <si>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</si>
  <si>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</si>
  <si>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</si>
  <si>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</si>
  <si>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</si>
  <si>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</si>
  <si>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</si>
  <si>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</si>
  <si>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</si>
  <si>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</si>
  <si>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</si>
  <si>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</si>
  <si>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</si>
  <si>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</si>
  <si>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</si>
  <si>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</si>
  <si>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</si>
  <si>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</si>
  <si>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</si>
  <si>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</si>
  <si>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</si>
  <si>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</si>
  <si>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</si>
  <si>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</si>
  <si>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</si>
  <si>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</si>
  <si>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</si>
  <si>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</si>
  <si>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</si>
  <si>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</si>
  <si>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</si>
  <si>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</si>
  <si>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</si>
  <si>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</si>
  <si>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</si>
  <si>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</si>
  <si>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</si>
  <si>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</si>
  <si>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</si>
  <si>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</si>
  <si>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</si>
  <si>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</si>
  <si>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</si>
  <si>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</si>
  <si>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</si>
  <si>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</si>
  <si>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</si>
  <si>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</si>
  <si>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</si>
  <si>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</si>
  <si>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</si>
  <si>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</si>
  <si>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</si>
  <si>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</si>
  <si>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</si>
  <si>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</si>
  <si>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</si>
  <si>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</si>
  <si>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</si>
  <si>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</si>
  <si>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</si>
  <si>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</si>
  <si>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</si>
  <si>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</si>
  <si>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</si>
  <si>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</si>
  <si>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</si>
  <si>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</si>
  <si>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</si>
  <si>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</si>
  <si>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</si>
  <si>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</si>
  <si>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</si>
  <si>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</si>
  <si>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</si>
  <si>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</si>
  <si>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</si>
  <si>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</si>
  <si>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</si>
  <si>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</si>
  <si>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</si>
  <si>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</si>
  <si>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</si>
  <si>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</si>
  <si>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</si>
  <si>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</si>
  <si>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</si>
  <si>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</si>
  <si>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</si>
  <si>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</si>
  <si>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</si>
  <si>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</si>
  <si>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</si>
  <si>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</si>
  <si>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</si>
  <si>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</si>
  <si>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</si>
  <si>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</si>
  <si>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</si>
  <si>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</si>
  <si>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</si>
  <si>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</si>
  <si>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</si>
  <si>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</si>
  <si>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</si>
  <si>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</si>
  <si>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</si>
  <si>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</si>
  <si>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</si>
  <si>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</si>
  <si>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</si>
  <si>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</si>
  <si>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</si>
  <si>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</si>
  <si>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</si>
  <si>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</si>
  <si>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</si>
  <si>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</si>
  <si>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</si>
  <si>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</si>
  <si>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</si>
  <si>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</si>
  <si>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</si>
  <si>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</si>
  <si>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</si>
  <si>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</si>
  <si>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</si>
  <si>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</si>
  <si>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</si>
  <si>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</si>
  <si>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</si>
  <si>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</si>
  <si>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</si>
  <si>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</si>
  <si>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</si>
  <si>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</si>
  <si>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</si>
  <si>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</si>
  <si>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</si>
  <si>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</si>
  <si>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</si>
  <si>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</si>
  <si>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</si>
  <si>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</si>
  <si>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</si>
  <si>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</si>
  <si>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</si>
  <si>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</si>
  <si>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</si>
  <si>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</si>
  <si>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</si>
  <si>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</si>
  <si>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</si>
  <si>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</si>
  <si>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</si>
  <si>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</si>
  <si>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</si>
  <si>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</si>
  <si>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</si>
  <si>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</si>
  <si>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</si>
  <si>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</si>
  <si>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</si>
  <si>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</si>
  <si>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</si>
  <si>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</si>
  <si>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</si>
  <si>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</si>
  <si>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</si>
  <si>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</si>
  <si>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</si>
  <si>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</si>
  <si>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</si>
  <si>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</si>
  <si>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</si>
  <si>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</si>
  <si>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</si>
  <si>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</si>
  <si>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</si>
  <si>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</si>
  <si>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</si>
  <si>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</si>
  <si>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</si>
  <si>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</si>
  <si>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</si>
  <si>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</si>
  <si>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</si>
  <si>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</si>
  <si>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</si>
  <si>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</si>
  <si>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</si>
  <si>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</si>
  <si>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</si>
  <si>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</si>
  <si>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</si>
  <si>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</si>
  <si>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</si>
  <si>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</si>
  <si>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</si>
  <si>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</si>
  <si>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</si>
  <si>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</si>
  <si>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</si>
  <si>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</si>
  <si>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</si>
  <si>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</si>
  <si>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</si>
  <si>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</si>
  <si>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</si>
  <si>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</si>
  <si>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</si>
  <si>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</si>
  <si>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</si>
  <si>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</si>
  <si>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</si>
  <si>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</si>
  <si>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</si>
  <si>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</si>
  <si>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</si>
  <si>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</si>
  <si>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</si>
  <si>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</si>
  <si>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</si>
  <si>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</si>
  <si>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</si>
  <si>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</si>
  <si>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</si>
  <si>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</si>
  <si>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</si>
  <si>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</si>
  <si>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</si>
  <si>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</si>
  <si>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</si>
  <si>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</si>
  <si>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</si>
  <si>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</si>
  <si>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</si>
  <si>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</si>
  <si>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</si>
  <si>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</si>
  <si>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</si>
  <si>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</si>
  <si>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</si>
  <si>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</si>
  <si>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</si>
  <si>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</si>
  <si>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</si>
  <si>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</si>
  <si>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</si>
  <si>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</si>
  <si>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</si>
  <si>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</si>
  <si>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</si>
  <si>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</si>
  <si>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</si>
  <si>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</si>
  <si>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</si>
  <si>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</si>
  <si>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</si>
  <si>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</si>
  <si>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</si>
  <si>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</si>
  <si>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</si>
  <si>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</si>
  <si>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</si>
  <si>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</si>
  <si>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</si>
  <si>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</si>
  <si>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</si>
  <si>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</si>
  <si>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</si>
  <si>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</si>
  <si>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</si>
  <si>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</si>
  <si>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</si>
  <si>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</si>
  <si>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</si>
  <si>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</si>
  <si>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</si>
  <si>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</si>
  <si>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</si>
  <si>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</si>
  <si>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</si>
  <si>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</si>
  <si>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</si>
  <si>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</si>
  <si>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</si>
  <si>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</si>
  <si>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</si>
  <si>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</si>
  <si>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</si>
  <si>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</si>
  <si>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</si>
  <si>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</si>
  <si>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</si>
  <si>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</si>
  <si>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</si>
  <si>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</si>
  <si>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</si>
  <si>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</si>
  <si>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</si>
  <si>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</si>
  <si>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</si>
  <si>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</si>
  <si>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</si>
  <si>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</si>
  <si>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</si>
  <si>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</si>
  <si>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</si>
  <si>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</si>
  <si>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</si>
  <si>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</si>
  <si>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</si>
  <si>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</si>
  <si>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</si>
  <si>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</si>
  <si>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</si>
  <si>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</si>
  <si>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</si>
  <si>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</si>
  <si>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</si>
  <si>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</si>
  <si>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</si>
  <si>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</si>
  <si>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</si>
  <si>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</si>
  <si>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</si>
  <si>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</si>
  <si>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</si>
  <si>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</si>
  <si>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</si>
  <si>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</si>
  <si>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</si>
  <si>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</si>
  <si>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</si>
  <si>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</si>
  <si>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</si>
  <si>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</si>
  <si>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</si>
  <si>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</si>
  <si>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</si>
  <si>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</si>
  <si>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</si>
  <si>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</si>
  <si>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</si>
  <si>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</si>
  <si>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</si>
  <si>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</si>
  <si>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</si>
  <si>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</si>
  <si>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</si>
  <si>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</si>
  <si>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</si>
  <si>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</si>
  <si>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</si>
  <si>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</si>
  <si>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</si>
  <si>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</si>
  <si>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</si>
  <si>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</si>
  <si>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</si>
  <si>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</si>
  <si>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</si>
  <si>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</si>
  <si>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</si>
  <si>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</si>
  <si>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</si>
  <si>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</si>
  <si>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</si>
  <si>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</si>
  <si>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</si>
  <si>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</si>
  <si>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</si>
  <si>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</si>
  <si>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</si>
  <si>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</si>
  <si>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</si>
  <si>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</si>
  <si>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</si>
  <si>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</si>
  <si>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</si>
  <si>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</si>
  <si>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</si>
  <si>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</si>
  <si>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</si>
  <si>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</si>
  <si>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</si>
  <si>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</si>
  <si>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</si>
  <si>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</si>
  <si>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</si>
  <si>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</si>
  <si>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</si>
  <si>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</si>
  <si>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</si>
  <si>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</si>
  <si>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</si>
  <si>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</si>
  <si>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</si>
  <si>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</si>
  <si>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</si>
  <si>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</si>
  <si>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</si>
  <si>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</si>
  <si>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</si>
  <si>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</si>
  <si>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</si>
  <si>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</si>
  <si>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</si>
  <si>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</si>
  <si>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</si>
  <si>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</si>
  <si>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</si>
  <si>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</si>
  <si>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</si>
  <si>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</si>
  <si>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</si>
  <si>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</si>
  <si>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</si>
  <si>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</si>
  <si>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</si>
  <si>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</si>
  <si>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</si>
  <si>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</si>
  <si>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</si>
  <si>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</si>
  <si>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</si>
  <si>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</si>
  <si>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</si>
  <si>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</si>
  <si>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</si>
  <si>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</si>
  <si>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</si>
  <si>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</si>
  <si>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</si>
  <si>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</si>
  <si>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</si>
  <si>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</si>
  <si>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</si>
  <si>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</si>
  <si>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</si>
  <si>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</si>
  <si>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</si>
  <si>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</si>
  <si>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</si>
  <si>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</si>
  <si>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</si>
  <si>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</si>
  <si>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</si>
  <si>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</si>
  <si>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</si>
  <si>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</si>
  <si>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</si>
  <si>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</si>
  <si>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</si>
  <si>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</si>
  <si>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</si>
  <si>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</si>
  <si>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</si>
  <si>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</si>
  <si>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</si>
  <si>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</si>
  <si>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</si>
  <si>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</si>
  <si>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</si>
  <si>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</si>
  <si>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</si>
  <si>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</si>
  <si>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</si>
  <si>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</si>
  <si>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</si>
  <si>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</si>
  <si>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</si>
  <si>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</si>
  <si>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</si>
  <si>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</si>
  <si>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</si>
  <si>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</si>
  <si>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</si>
  <si>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</si>
  <si>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</si>
  <si>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</si>
  <si>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</si>
  <si>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</si>
  <si>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</si>
  <si>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</si>
  <si>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</si>
  <si>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</si>
  <si>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</si>
  <si>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</si>
  <si>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</si>
  <si>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</si>
  <si>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</si>
  <si>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</si>
  <si>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</si>
  <si>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</si>
  <si>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</si>
  <si>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</si>
  <si>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</si>
  <si>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</si>
  <si>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</si>
  <si>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</si>
  <si>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</si>
  <si>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</si>
  <si>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</si>
  <si>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</si>
  <si>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</si>
  <si>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</si>
  <si>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</si>
  <si>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</si>
  <si>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</si>
  <si>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</si>
  <si>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</si>
  <si>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</si>
  <si>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</si>
  <si>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</si>
  <si>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</si>
  <si>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</si>
  <si>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</si>
  <si>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</si>
  <si>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</si>
  <si>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</si>
  <si>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</si>
  <si>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</si>
  <si>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</si>
  <si>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</si>
  <si>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</si>
  <si>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</si>
  <si>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</si>
  <si>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</si>
  <si>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</si>
  <si>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</si>
  <si>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</si>
  <si>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</si>
  <si>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</si>
  <si>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</si>
  <si>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</si>
  <si>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</si>
  <si>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</si>
  <si>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</si>
  <si>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</si>
  <si>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</si>
  <si>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</si>
  <si>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</si>
  <si>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</si>
  <si>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</si>
  <si>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</si>
  <si>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</si>
  <si>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</si>
  <si>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</si>
  <si>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</si>
  <si>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</si>
  <si>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</si>
  <si>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</si>
  <si>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</si>
  <si>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</si>
  <si>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</si>
  <si>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</si>
  <si>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</si>
  <si>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</si>
  <si>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</si>
  <si>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</si>
  <si>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</si>
  <si>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</si>
  <si>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</si>
  <si>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</si>
  <si>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</si>
  <si>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</si>
  <si>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</si>
  <si>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</si>
  <si>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</si>
  <si>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</si>
  <si>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</si>
  <si>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</si>
  <si>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</si>
  <si>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</si>
  <si>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</si>
  <si>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</si>
  <si>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</si>
  <si>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</si>
  <si>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</si>
  <si>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</si>
  <si>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</si>
  <si>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</si>
  <si>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</si>
  <si>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</si>
  <si>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</si>
  <si>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</si>
  <si>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</si>
  <si>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</si>
  <si>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</si>
  <si>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</si>
  <si>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</si>
  <si>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</si>
  <si>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</si>
  <si>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</si>
  <si>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</si>
  <si>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</si>
  <si>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</si>
  <si>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</si>
  <si>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</si>
  <si>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</si>
  <si>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</si>
  <si>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</si>
  <si>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</si>
  <si>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</si>
  <si>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</si>
  <si>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</si>
  <si>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</si>
  <si>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</si>
  <si>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</si>
  <si>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</si>
  <si>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</si>
  <si>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</si>
  <si>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</si>
  <si>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</si>
  <si>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</si>
  <si>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</si>
  <si>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</si>
  <si>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</si>
  <si>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</si>
  <si>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</si>
  <si>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</si>
  <si>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</si>
  <si>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</si>
  <si>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</si>
  <si>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</si>
  <si>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</si>
  <si>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</si>
  <si>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</si>
  <si>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</si>
  <si>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</si>
  <si>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</si>
  <si>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</si>
  <si>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</si>
  <si>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</si>
  <si>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</si>
  <si>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</si>
  <si>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</si>
  <si>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</si>
  <si>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</si>
  <si>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</si>
  <si>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</si>
  <si>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</si>
  <si>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</si>
  <si>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</si>
  <si>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</si>
  <si>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</si>
  <si>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</si>
  <si>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</si>
  <si>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</si>
  <si>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</si>
  <si>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</si>
  <si>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</si>
  <si>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</si>
  <si>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</si>
  <si>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</si>
  <si>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</si>
  <si>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</si>
  <si>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</si>
  <si>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</si>
  <si>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</si>
  <si>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</si>
  <si>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</si>
  <si>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</si>
  <si>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</si>
  <si>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</si>
  <si>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</si>
  <si>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</si>
  <si>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</si>
  <si>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</si>
  <si>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</si>
  <si>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</si>
  <si>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</si>
  <si>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</si>
  <si>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</si>
  <si>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</si>
  <si>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</si>
  <si>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</si>
  <si>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</si>
  <si>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</si>
  <si>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</si>
  <si>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</si>
  <si>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</si>
  <si>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</si>
  <si>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</si>
  <si>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</si>
  <si>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</si>
  <si>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</si>
  <si>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</si>
  <si>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</si>
  <si>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</si>
  <si>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</si>
  <si>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</si>
  <si>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</si>
  <si>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</si>
  <si>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</si>
  <si>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</si>
  <si>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</si>
  <si>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</si>
  <si>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</si>
  <si>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</si>
  <si>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</si>
  <si>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</si>
  <si>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</si>
  <si>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</si>
  <si>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</si>
  <si>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</si>
  <si>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</si>
  <si>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</si>
  <si>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</si>
  <si>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</si>
  <si>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</si>
  <si>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</si>
  <si>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</si>
  <si>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</si>
  <si>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</si>
  <si>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</si>
  <si>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</si>
  <si>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</si>
  <si>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</si>
  <si>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</si>
  <si>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</si>
  <si>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</si>
  <si>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</si>
  <si>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</si>
  <si>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</si>
  <si>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</si>
  <si>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</si>
  <si>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</si>
  <si>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</si>
  <si>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</si>
  <si>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</si>
  <si>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</si>
  <si>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</si>
  <si>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</si>
  <si>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</si>
  <si>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</si>
  <si>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</si>
  <si>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</si>
  <si>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</si>
  <si>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</si>
  <si>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</si>
  <si>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</si>
  <si>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</si>
  <si>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</si>
  <si>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</si>
  <si>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</si>
  <si>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</si>
  <si>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</si>
  <si>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</si>
  <si>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</si>
  <si>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</si>
  <si>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</si>
  <si>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</si>
  <si>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</si>
  <si>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</si>
  <si>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</si>
  <si>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</si>
  <si>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</si>
  <si>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</si>
  <si>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</si>
  <si>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</si>
  <si>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</si>
  <si>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</si>
  <si>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</si>
  <si>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</si>
  <si>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</si>
  <si>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</si>
  <si>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</si>
  <si>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</si>
  <si>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</si>
  <si>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</si>
  <si>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</si>
  <si>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</si>
  <si>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</si>
  <si>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</si>
  <si>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</si>
  <si>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</si>
  <si>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</si>
  <si>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</si>
  <si>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</si>
  <si>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</si>
  <si>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</si>
  <si>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</si>
  <si>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</si>
  <si>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</si>
  <si>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</si>
  <si>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</si>
  <si>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</si>
  <si>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</si>
  <si>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</si>
  <si>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</si>
  <si>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</si>
  <si>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</si>
  <si>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</si>
  <si>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</si>
  <si>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</si>
  <si>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</si>
  <si>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</si>
  <si>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</si>
  <si>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</si>
  <si>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</si>
  <si>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</si>
  <si>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</si>
  <si>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</si>
  <si>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</si>
  <si>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</si>
  <si>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</si>
  <si>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</si>
  <si>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</si>
  <si>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</si>
  <si>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</si>
  <si>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</si>
  <si>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</si>
  <si>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</si>
  <si>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</si>
  <si>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</si>
  <si>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</si>
  <si>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</si>
  <si>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</si>
  <si>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</si>
  <si>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</si>
  <si>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</si>
  <si>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</si>
  <si>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</si>
  <si>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</si>
  <si>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</si>
  <si>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</si>
  <si>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</si>
  <si>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</si>
  <si>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</si>
  <si>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</si>
  <si>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</si>
  <si>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</si>
  <si>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</si>
  <si>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</si>
  <si>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</si>
  <si>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</si>
  <si>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</si>
  <si>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</si>
  <si>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</si>
  <si>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</si>
  <si>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</si>
  <si>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</si>
  <si>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</si>
  <si>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</si>
  <si>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</si>
  <si>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</si>
  <si>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</si>
  <si>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</si>
  <si>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</si>
  <si>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</si>
  <si>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</si>
  <si>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</si>
  <si>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</si>
  <si>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</si>
  <si>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</si>
  <si>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</si>
  <si>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</si>
  <si>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</si>
  <si>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</si>
  <si>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</si>
  <si>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</si>
  <si>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</si>
  <si>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</si>
  <si>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</si>
  <si>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</si>
  <si>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</si>
  <si>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</si>
  <si>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</si>
  <si>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</si>
  <si>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</si>
  <si>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</si>
  <si>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</si>
  <si>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</si>
  <si>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</si>
  <si>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</si>
  <si>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</si>
  <si>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</si>
  <si>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</si>
  <si>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</si>
  <si>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</si>
  <si>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</si>
  <si>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</si>
  <si>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</si>
  <si>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</si>
  <si>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</si>
  <si>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</si>
  <si>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</si>
  <si>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</si>
  <si>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</si>
  <si>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</si>
  <si>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</si>
  <si>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</si>
  <si>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</si>
  <si>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</si>
  <si>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</si>
  <si>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</si>
  <si>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</si>
  <si>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</si>
  <si>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</si>
  <si>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</si>
  <si>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</si>
  <si>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</si>
  <si>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</si>
  <si>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</si>
  <si>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</si>
  <si>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</si>
  <si>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</si>
  <si>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</si>
  <si>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</si>
  <si>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</si>
  <si>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</si>
  <si>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</si>
  <si>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</si>
  <si>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</si>
  <si>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</si>
  <si>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</si>
  <si>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</si>
  <si>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</si>
  <si>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</si>
  <si>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</si>
  <si>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</si>
  <si>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</si>
  <si>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</si>
  <si>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</si>
  <si>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</si>
  <si>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</si>
  <si>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</si>
  <si>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</si>
  <si>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</si>
  <si>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</si>
  <si>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</si>
  <si>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</si>
  <si>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</si>
  <si>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</si>
  <si>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</si>
  <si>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</si>
  <si>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</si>
  <si>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</si>
  <si>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</si>
  <si>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</si>
  <si>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</si>
  <si>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</si>
  <si>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</si>
  <si>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</si>
  <si>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</si>
  <si>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</si>
  <si>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</si>
  <si>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</si>
  <si>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</si>
  <si>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</si>
  <si>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</si>
  <si>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</si>
  <si>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</si>
  <si>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</si>
  <si>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</si>
  <si>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</si>
  <si>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</si>
  <si>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</si>
  <si>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</si>
  <si>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</si>
  <si>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</si>
  <si>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</si>
  <si>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</si>
  <si>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</si>
  <si>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</si>
  <si>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</si>
  <si>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</si>
  <si>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</si>
  <si>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</si>
  <si>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</si>
  <si>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</si>
  <si>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</si>
  <si>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</si>
  <si>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</si>
  <si>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</si>
  <si>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</si>
  <si>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</si>
  <si>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</si>
  <si>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</si>
  <si>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</si>
  <si>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</si>
  <si>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</si>
  <si>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</si>
  <si>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</si>
  <si>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</si>
  <si>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</si>
  <si>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</si>
  <si>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</si>
  <si>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</si>
  <si>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</si>
  <si>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</si>
  <si>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</si>
  <si>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</si>
  <si>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</si>
  <si>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</si>
  <si>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</si>
  <si>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</si>
  <si>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</si>
  <si>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</si>
  <si>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</si>
  <si>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</si>
  <si>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</si>
  <si>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</si>
  <si>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</si>
  <si>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</si>
  <si>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</si>
  <si>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</si>
  <si>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</si>
  <si>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</si>
  <si>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</si>
  <si>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</si>
  <si>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</si>
  <si>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</si>
  <si>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</si>
  <si>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</si>
  <si>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</si>
  <si>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</si>
  <si>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</si>
  <si>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</si>
  <si>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</si>
  <si>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</si>
  <si>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</si>
  <si>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</si>
  <si>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</si>
  <si>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</si>
  <si>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</si>
  <si>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</si>
  <si>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</si>
  <si>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</si>
  <si>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</si>
  <si>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</si>
  <si>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</si>
  <si>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</si>
  <si>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</si>
  <si>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</si>
  <si>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</si>
  <si>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</si>
  <si>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</si>
  <si>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</si>
  <si>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</si>
  <si>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</si>
  <si>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</si>
  <si>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</si>
  <si>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</si>
  <si>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</si>
  <si>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</si>
  <si>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</si>
  <si>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</si>
  <si>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</si>
  <si>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</si>
  <si>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</si>
  <si>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</si>
  <si>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</si>
  <si>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</si>
  <si>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</si>
  <si>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</si>
  <si>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</si>
  <si>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</si>
  <si>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</si>
  <si>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</si>
  <si>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</si>
  <si>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</si>
  <si>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</si>
  <si>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</si>
  <si>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</si>
  <si>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</si>
  <si>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</si>
  <si>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</si>
  <si>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</si>
  <si>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</si>
  <si>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</si>
  <si>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</si>
  <si>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</si>
  <si>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</si>
  <si>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</si>
  <si>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</si>
  <si>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</si>
  <si>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</si>
  <si>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</si>
  <si>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</si>
  <si>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</si>
  <si>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</si>
  <si>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</si>
  <si>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</si>
  <si>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</si>
  <si>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</si>
  <si>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</si>
  <si>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</si>
  <si>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</si>
  <si>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</si>
  <si>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</si>
  <si>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</si>
  <si>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</si>
  <si>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</si>
  <si>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</si>
  <si>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</si>
  <si>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</si>
  <si>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</si>
  <si>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</si>
  <si>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</si>
  <si>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</si>
  <si>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</si>
  <si>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</si>
  <si>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</si>
  <si>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</si>
  <si>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</si>
  <si>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</si>
  <si>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</si>
  <si>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</si>
  <si>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</si>
  <si>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</si>
  <si>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</si>
  <si>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</si>
  <si>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</si>
  <si>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</si>
  <si>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</si>
  <si>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</si>
  <si>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</si>
  <si>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</si>
  <si>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</si>
  <si>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</si>
  <si>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</si>
  <si>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</si>
  <si>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</si>
  <si>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</si>
  <si>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</si>
  <si>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</si>
  <si>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</si>
  <si>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</si>
  <si>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</si>
  <si>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</si>
  <si>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</si>
  <si>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</si>
  <si>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</si>
  <si>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</si>
  <si>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</si>
  <si>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</si>
  <si>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</si>
  <si>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</si>
  <si>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</si>
  <si>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</si>
  <si>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</si>
  <si>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</si>
  <si>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</si>
  <si>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</si>
  <si>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</si>
  <si>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</si>
  <si>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</si>
  <si>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</si>
  <si>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</si>
  <si>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</si>
  <si>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</si>
  <si>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</si>
  <si>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</si>
  <si>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</si>
  <si>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</si>
  <si>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</si>
  <si>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</si>
  <si>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</si>
  <si>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</si>
  <si>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</si>
  <si>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</si>
  <si>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</si>
  <si>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</si>
  <si>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</si>
  <si>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</si>
  <si>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</si>
  <si>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</si>
  <si>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</si>
  <si>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</si>
  <si>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</si>
  <si>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</si>
  <si>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</si>
  <si>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</si>
  <si>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</si>
  <si>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</si>
  <si>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</si>
  <si>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</si>
  <si>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</si>
  <si>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</si>
  <si>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</si>
  <si>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</si>
  <si>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</si>
  <si>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</si>
  <si>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</si>
  <si>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</si>
  <si>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</si>
  <si>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</si>
  <si>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</si>
  <si>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</si>
  <si>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</si>
  <si>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</si>
  <si>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</si>
  <si>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</si>
  <si>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</si>
  <si>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</si>
  <si>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</si>
  <si>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</si>
  <si>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</si>
  <si>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</si>
  <si>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</si>
  <si>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</si>
  <si>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</si>
  <si>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</si>
  <si>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</si>
  <si>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</si>
  <si>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</si>
  <si>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</si>
  <si>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</si>
  <si>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</si>
  <si>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</si>
  <si>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</si>
  <si>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</si>
  <si>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</si>
  <si>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</si>
  <si>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</si>
  <si>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</si>
  <si>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</si>
  <si>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</si>
  <si>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</si>
  <si>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</si>
  <si>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</si>
  <si>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</si>
  <si>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</si>
  <si>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</si>
  <si>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</si>
  <si>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</si>
  <si>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</si>
  <si>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</si>
  <si>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</si>
  <si>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</si>
  <si>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</si>
  <si>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</si>
  <si>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</si>
  <si>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</si>
  <si>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</si>
  <si>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</si>
  <si>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</si>
  <si>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</si>
  <si>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</si>
  <si>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</si>
  <si>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</si>
  <si>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</si>
  <si>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</si>
  <si>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</si>
  <si>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</si>
  <si>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</si>
  <si>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</si>
  <si>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</si>
  <si>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</si>
  <si>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</si>
  <si>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</si>
  <si>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</si>
  <si>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</si>
  <si>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</si>
  <si>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</si>
  <si>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</si>
  <si>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</si>
  <si>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</si>
  <si>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</si>
  <si>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</si>
  <si>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</si>
  <si>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</si>
  <si>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</si>
  <si>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</si>
  <si>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</si>
  <si>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</si>
  <si>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</si>
  <si>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</si>
  <si>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</si>
  <si>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</si>
  <si>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</si>
  <si>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</si>
  <si>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</si>
  <si>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</si>
  <si>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</si>
  <si>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</si>
  <si>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</si>
  <si>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</si>
  <si>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</si>
  <si>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</si>
  <si>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</si>
  <si>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</si>
  <si>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</si>
  <si>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</si>
  <si>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</si>
  <si>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</si>
  <si>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</si>
  <si>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</si>
  <si>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</si>
  <si>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</si>
  <si>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</si>
  <si>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</si>
  <si>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</si>
  <si>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</si>
  <si>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</si>
  <si>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</si>
  <si>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</si>
  <si>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</si>
  <si>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</si>
  <si>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</si>
  <si>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</si>
  <si>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</si>
  <si>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</si>
  <si>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</si>
  <si>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</si>
  <si>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</si>
  <si>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</si>
  <si>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</si>
  <si>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</si>
  <si>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</si>
  <si>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</si>
  <si>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</si>
  <si>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</si>
  <si>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</si>
  <si>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</si>
  <si>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</si>
  <si>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</si>
  <si>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</si>
  <si>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</si>
  <si>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</si>
  <si>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</si>
  <si>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</si>
  <si>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</si>
  <si>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</si>
  <si>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</si>
  <si>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</si>
  <si>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</si>
  <si>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</si>
  <si>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</si>
  <si>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</si>
  <si>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</si>
  <si>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</si>
  <si>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</si>
  <si>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</si>
  <si>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</si>
  <si>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</si>
  <si>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</si>
  <si>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</si>
  <si>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</si>
  <si>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</si>
  <si>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</si>
  <si>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</si>
  <si>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</si>
  <si>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</si>
  <si>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</si>
  <si>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</si>
  <si>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</si>
  <si>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</si>
  <si>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</si>
  <si>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</si>
  <si>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</si>
  <si>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</si>
  <si>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</si>
  <si>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</si>
  <si>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</si>
  <si>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</si>
  <si>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</si>
  <si>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</si>
  <si>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</si>
  <si>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</si>
  <si>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</si>
  <si>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</si>
  <si>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</si>
  <si>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</si>
  <si>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</si>
  <si>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</si>
  <si>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</si>
  <si>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</si>
  <si>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</si>
  <si>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</si>
  <si>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</si>
  <si>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</si>
  <si>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</si>
  <si>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</si>
  <si>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</si>
  <si>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</si>
  <si>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</si>
  <si>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</si>
  <si>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</si>
  <si>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</si>
  <si>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</si>
  <si>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</si>
  <si>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</si>
  <si>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</si>
  <si>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</si>
  <si>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</si>
  <si>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</si>
  <si>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</si>
  <si>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</si>
  <si>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</si>
  <si>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</si>
  <si>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</si>
  <si>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</si>
  <si>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</si>
  <si>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</si>
  <si>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</si>
  <si>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</si>
  <si>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</si>
  <si>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</si>
  <si>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</si>
  <si>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</si>
  <si>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</si>
  <si>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</si>
  <si>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</si>
  <si>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</si>
  <si>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</si>
  <si>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</si>
  <si>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</si>
  <si>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</si>
  <si>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</si>
  <si>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</si>
  <si>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</si>
  <si>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</si>
  <si>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</si>
  <si>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</si>
  <si>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</si>
  <si>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</si>
  <si>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</si>
  <si>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</si>
  <si>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</si>
  <si>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</si>
  <si>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</si>
  <si>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</si>
  <si>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</si>
  <si>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</si>
  <si>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</si>
  <si>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</si>
  <si>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</si>
  <si>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</si>
  <si>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</si>
  <si>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</si>
  <si>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</si>
  <si>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</si>
  <si>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</si>
  <si>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</si>
  <si>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</si>
  <si>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</si>
  <si>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</si>
  <si>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</si>
  <si>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</si>
  <si>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</si>
  <si>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</si>
  <si>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</si>
  <si>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</si>
  <si>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</si>
  <si>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</si>
  <si>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</si>
  <si>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</si>
  <si>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</si>
  <si>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</si>
  <si>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</si>
  <si>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</si>
  <si>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</si>
  <si>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</si>
  <si>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</si>
  <si>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</si>
  <si>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</si>
  <si>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</si>
  <si>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</si>
  <si>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</si>
  <si>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</si>
  <si>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</si>
  <si>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</si>
  <si>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</si>
  <si>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</si>
  <si>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</si>
  <si>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</si>
  <si>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</si>
  <si>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</si>
  <si>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</si>
  <si>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</si>
  <si>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</si>
  <si>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</si>
  <si>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</si>
  <si>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</si>
  <si>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</si>
  <si>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</si>
  <si>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</si>
  <si>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</si>
  <si>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</si>
  <si>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</si>
  <si>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</si>
  <si>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</si>
  <si>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</si>
  <si>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</si>
  <si>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</si>
  <si>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</si>
  <si>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</si>
  <si>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</si>
  <si>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</si>
  <si>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</si>
  <si>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</si>
  <si>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</si>
  <si>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</si>
  <si>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</si>
  <si>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</si>
  <si>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</si>
  <si>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</si>
  <si>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</si>
  <si>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</si>
  <si>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</si>
  <si>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</si>
  <si>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</si>
  <si>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</si>
  <si>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</si>
  <si>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</si>
  <si>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</si>
  <si>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</si>
  <si>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</si>
  <si>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</si>
  <si>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</si>
  <si>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</si>
  <si>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</si>
  <si>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</si>
  <si>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</si>
  <si>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</si>
  <si>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</si>
  <si>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</si>
  <si>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</si>
  <si>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</si>
  <si>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</si>
  <si>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</si>
  <si>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</si>
  <si>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</si>
  <si>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</si>
  <si>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</si>
  <si>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</si>
  <si>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</si>
  <si>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</si>
  <si>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</si>
  <si>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</si>
  <si>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</si>
  <si>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</si>
  <si>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</si>
  <si>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</si>
  <si>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</si>
  <si>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</si>
  <si>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</si>
  <si>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</si>
  <si>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</si>
  <si>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</si>
  <si>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</si>
  <si>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</si>
  <si>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</si>
  <si>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</si>
  <si>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</si>
  <si>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</si>
  <si>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</si>
  <si>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</si>
  <si>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</si>
  <si>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</si>
  <si>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</si>
  <si>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</si>
  <si>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</si>
  <si>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</si>
  <si>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</si>
  <si>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</si>
  <si>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</si>
  <si>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</si>
  <si>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</si>
  <si>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</si>
  <si>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</si>
  <si>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</si>
  <si>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</si>
  <si>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</si>
  <si>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</si>
  <si>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</si>
  <si>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</si>
  <si>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</si>
  <si>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</si>
  <si>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</si>
  <si>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</si>
  <si>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</si>
  <si>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</si>
  <si>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</si>
  <si>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</si>
  <si>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</si>
  <si>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</si>
  <si>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</si>
  <si>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</si>
  <si>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</si>
  <si>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</si>
  <si>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</si>
  <si>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</si>
  <si>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</si>
  <si>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</si>
  <si>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</si>
  <si>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</si>
  <si>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</si>
  <si>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</si>
  <si>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</si>
  <si>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</si>
  <si>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</si>
  <si>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</si>
  <si>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</si>
  <si>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</si>
  <si>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</si>
  <si>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</si>
  <si>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</si>
  <si>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</si>
  <si>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</si>
  <si>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</si>
  <si>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</si>
  <si>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</si>
  <si>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</si>
  <si>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</si>
  <si>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</si>
  <si>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</si>
  <si>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</si>
  <si>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</si>
  <si>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</si>
  <si>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</si>
  <si>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</si>
  <si>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</si>
  <si>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</si>
  <si>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</si>
  <si>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</si>
  <si>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</si>
  <si>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</si>
  <si>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</si>
  <si>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</si>
  <si>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</si>
  <si>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</si>
  <si>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</si>
  <si>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</si>
  <si>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</si>
  <si>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</si>
  <si>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</si>
  <si>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</si>
  <si>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</si>
  <si>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</si>
  <si>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</si>
  <si>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</si>
  <si>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</si>
  <si>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</si>
  <si>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</si>
  <si>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</si>
  <si>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</si>
  <si>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</si>
  <si>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</si>
  <si>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</si>
  <si>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</si>
  <si>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</si>
  <si>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</si>
  <si>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</si>
  <si>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</si>
  <si>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</si>
  <si>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</si>
  <si>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</si>
  <si>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</si>
  <si>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</si>
  <si>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</si>
  <si>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</si>
  <si>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</si>
  <si>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</si>
  <si>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</si>
  <si>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</si>
  <si>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</si>
  <si>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</si>
  <si>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</si>
  <si>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</si>
  <si>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</si>
  <si>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</si>
  <si>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</si>
  <si>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</si>
  <si>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</si>
  <si>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</si>
  <si>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</si>
  <si>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</si>
  <si>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</si>
  <si>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</si>
  <si>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</si>
  <si>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</si>
  <si>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</si>
  <si>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</si>
  <si>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</si>
  <si>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</si>
  <si>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</si>
  <si>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</si>
  <si>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</si>
  <si>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</si>
  <si>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</si>
  <si>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</si>
  <si>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</si>
  <si>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</si>
  <si>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</si>
  <si>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</si>
  <si>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</si>
  <si>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</si>
  <si>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</si>
  <si>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</si>
  <si>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</si>
  <si>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</si>
  <si>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</si>
  <si>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</si>
  <si>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</si>
  <si>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</si>
  <si>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</si>
  <si>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</si>
  <si>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</si>
  <si>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</si>
  <si>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</si>
  <si>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</si>
  <si>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</si>
  <si>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</si>
  <si>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</si>
  <si>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</si>
  <si>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</si>
  <si>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</si>
  <si>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</si>
  <si>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</si>
  <si>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</si>
  <si>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</si>
  <si>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</si>
  <si>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</si>
  <si>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</si>
  <si>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</si>
  <si>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</si>
  <si>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</si>
  <si>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</si>
  <si>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</si>
  <si>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</si>
  <si>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</si>
  <si>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</si>
  <si>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</si>
  <si>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</si>
  <si>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</si>
  <si>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</si>
  <si>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</si>
  <si>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</si>
  <si>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</si>
  <si>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</si>
  <si>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</si>
  <si>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</si>
  <si>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</si>
  <si>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</si>
  <si>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</si>
  <si>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</si>
  <si>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</si>
  <si>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</si>
  <si>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</si>
  <si>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</si>
  <si>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</si>
  <si>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</si>
  <si>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</si>
  <si>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</si>
  <si>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</si>
  <si>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</si>
  <si>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</si>
  <si>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</si>
  <si>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</si>
  <si>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</si>
  <si>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</si>
  <si>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</si>
  <si>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</si>
  <si>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</si>
  <si>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</si>
  <si>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</si>
  <si>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</si>
  <si>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</si>
  <si>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</si>
  <si>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</si>
  <si>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</si>
  <si>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</si>
  <si>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</si>
  <si>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</si>
  <si>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</si>
  <si>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</si>
  <si>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</si>
  <si>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</si>
  <si>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</si>
  <si>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</si>
  <si>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</si>
  <si>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</si>
  <si>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</si>
  <si>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</si>
  <si>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</si>
  <si>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</si>
  <si>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</si>
  <si>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</si>
  <si>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</si>
  <si>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</si>
  <si>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</si>
  <si>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</si>
  <si>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</si>
  <si>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</si>
  <si>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</si>
  <si>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</si>
  <si>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</si>
  <si>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</si>
  <si>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</si>
  <si>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</si>
  <si>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</si>
  <si>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</si>
  <si>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</si>
  <si>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</si>
  <si>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</si>
  <si>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</si>
  <si>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</si>
  <si>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</si>
  <si>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</si>
  <si>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</si>
  <si>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</si>
  <si>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</si>
  <si>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</si>
  <si>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</si>
  <si>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</si>
  <si>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</si>
  <si>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</si>
  <si>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</si>
  <si>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</si>
  <si>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</si>
  <si>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</si>
  <si>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</si>
  <si>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</si>
  <si>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</si>
  <si>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</si>
  <si>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</si>
  <si>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</si>
  <si>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</si>
  <si>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</si>
  <si>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</si>
  <si>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</si>
  <si>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</si>
  <si>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</si>
  <si>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</si>
  <si>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</si>
  <si>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</si>
  <si>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</si>
  <si>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</si>
  <si>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</si>
  <si>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</si>
  <si>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</si>
  <si>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</si>
  <si>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</si>
  <si>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</si>
  <si>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</si>
  <si>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</si>
  <si>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</si>
  <si>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</si>
  <si>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</si>
  <si>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</si>
  <si>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</si>
  <si>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</si>
  <si>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</si>
  <si>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</si>
  <si>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</si>
  <si>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</si>
  <si>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</si>
  <si>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</si>
  <si>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</si>
  <si>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</si>
  <si>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</si>
  <si>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</si>
  <si>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</si>
  <si>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</si>
  <si>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</si>
  <si>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</si>
  <si>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</si>
  <si>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</si>
  <si>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</si>
  <si>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</si>
  <si>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</si>
  <si>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</si>
  <si>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</si>
  <si>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</si>
  <si>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</si>
  <si>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</si>
  <si>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</si>
  <si>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</si>
  <si>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</si>
  <si>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</si>
  <si>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</si>
  <si>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</si>
  <si>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</si>
  <si>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</si>
  <si>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</si>
  <si>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</si>
  <si>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</si>
  <si>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</si>
  <si>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</si>
  <si>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</si>
  <si>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</si>
  <si>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</si>
  <si>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</si>
  <si>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</si>
  <si>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</si>
  <si>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</si>
  <si>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</si>
  <si>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</si>
  <si>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</si>
  <si>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</si>
  <si>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</si>
  <si>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</si>
  <si>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</si>
  <si>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</si>
  <si>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</si>
  <si>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</si>
  <si>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</si>
  <si>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</si>
  <si>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</si>
  <si>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</si>
  <si>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</si>
  <si>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</si>
  <si>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</si>
  <si>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</si>
  <si>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</si>
  <si>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</si>
  <si>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</si>
  <si>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</si>
  <si>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</si>
  <si>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</si>
  <si>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</si>
  <si>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</si>
  <si>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</si>
  <si>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</si>
  <si>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</si>
  <si>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</si>
  <si>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</si>
  <si>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</si>
  <si>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</si>
  <si>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</si>
  <si>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</si>
  <si>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</si>
  <si>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</si>
  <si>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</si>
  <si>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</si>
  <si>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</si>
  <si>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</si>
  <si>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</si>
  <si>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</si>
  <si>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</si>
  <si>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</si>
  <si>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</si>
  <si>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</si>
  <si>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</si>
  <si>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</si>
  <si>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</si>
  <si>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</si>
  <si>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</si>
  <si>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</si>
  <si>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</si>
  <si>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</si>
  <si>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</si>
  <si>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</si>
  <si>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</si>
  <si>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</si>
  <si>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</si>
  <si>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</si>
  <si>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</si>
  <si>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</si>
  <si>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</si>
  <si>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</si>
  <si>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</si>
  <si>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</si>
  <si>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</si>
  <si>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</si>
  <si>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</si>
  <si>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</si>
  <si>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</si>
  <si>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</si>
  <si>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</si>
  <si>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</si>
  <si>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</si>
  <si>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</si>
  <si>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</si>
  <si>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</si>
  <si>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</si>
  <si>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</si>
  <si>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</si>
  <si>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</si>
  <si>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</si>
  <si>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</si>
  <si>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</si>
  <si>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</si>
  <si>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</si>
  <si>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</si>
  <si>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</si>
  <si>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</si>
  <si>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</si>
  <si>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</si>
  <si>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</si>
  <si>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</si>
  <si>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</si>
  <si>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</si>
  <si>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</si>
  <si>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</si>
  <si>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</si>
  <si>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</si>
  <si>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</si>
  <si>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</si>
  <si>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</si>
  <si>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</si>
  <si>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</si>
  <si>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</si>
  <si>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</si>
  <si>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</si>
  <si>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</si>
  <si>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</si>
  <si>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</si>
  <si>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</si>
  <si>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</si>
  <si>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</si>
  <si>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</si>
  <si>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</si>
  <si>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</si>
  <si>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</si>
  <si>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</si>
  <si>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</si>
  <si>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</si>
  <si>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</si>
  <si>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</si>
  <si>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</si>
  <si>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</si>
  <si>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</si>
  <si>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</si>
  <si>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</si>
  <si>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</si>
  <si>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</si>
  <si>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</si>
  <si>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</si>
  <si>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</si>
  <si>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</si>
  <si>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</si>
  <si>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</si>
  <si>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</si>
  <si>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</si>
  <si>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</si>
  <si>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</si>
  <si>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</si>
  <si>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</si>
  <si>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</si>
  <si>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</si>
  <si>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</si>
  <si>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</si>
  <si>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</si>
  <si>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</si>
  <si>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</si>
  <si>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</si>
  <si>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</si>
  <si>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</si>
  <si>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</si>
  <si>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</si>
  <si>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</si>
  <si>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</si>
  <si>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</si>
  <si>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</si>
  <si>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</si>
  <si>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</si>
  <si>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</si>
  <si>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May</t>
  </si>
  <si>
    <t>Jun</t>
  </si>
  <si>
    <t>Jul</t>
  </si>
  <si>
    <t>Aug</t>
  </si>
  <si>
    <t>Sep</t>
  </si>
  <si>
    <t>Oct</t>
  </si>
  <si>
    <t>Years (Order Date)</t>
  </si>
  <si>
    <t>Months (Order Date)</t>
  </si>
  <si>
    <t>Arabica</t>
  </si>
  <si>
    <t>Excelsa</t>
  </si>
  <si>
    <t>Liberca</t>
  </si>
  <si>
    <t>Robusta</t>
  </si>
  <si>
    <t>Sum of Sales</t>
  </si>
  <si>
    <t>Jan</t>
  </si>
  <si>
    <t>Feb</t>
  </si>
  <si>
    <t>Mar</t>
  </si>
  <si>
    <t>Apr</t>
  </si>
  <si>
    <t>Nov</t>
  </si>
  <si>
    <t>Dec</t>
  </si>
  <si>
    <t>2020</t>
  </si>
  <si>
    <t>2021</t>
  </si>
  <si>
    <t>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</si>
</sst>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70" formatCode="[$$-409]#,##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168" fontId="0" fillId="0" borderId="0" xfId="0" applyNumberFormat="1"/>
    <xf numFmtId="0" fontId="0" fillId="0" borderId="0" xfId="0" applyAlignment="1">
      <alignment wrapText="1"/>
    </xf>
    <xf numFmtId="0" fontId="0" fillId="0" borderId="0" xfId="0" pivotButton="1"/>
    <xf numFmtId="0" fontId="0" fillId="0" borderId="0" xfId="0" pivotButton="1" applyAlignment="1"/>
    <xf numFmtId="0" fontId="0" fillId="0" borderId="0" xfId="0" applyAlignment="1"/>
    <xf numFmtId="170" fontId="0" fillId="0" borderId="0" xfId="0" applyNumberFormat="1"/>
    <xf numFmtId="0" fontId="0" fillId="2" borderId="0" xfId="0" applyFill="1" applyBorder="1"/>
  </cellXfs>
  <cellStyles count="1">
    <cellStyle name="Normal" xfId="0" builtinId="0"/>
  </cellStyles>
  <dxfs count="36">
    <dxf>
      <alignment wrapText="0"/>
    </dxf>
    <dxf>
      <alignment wrapText="0"/>
    </dxf>
    <dxf>
      <alignment wrapText="0"/>
    </dxf>
    <dxf>
      <alignment wrapText="0"/>
    </dxf>
    <dxf>
      <alignment wrapText="0"/>
    </dxf>
    <dxf>
      <numFmt numFmtId="170" formatCode="[$$-409]#,##0"/>
    </dxf>
    <dxf>
      <alignment wrapText="0"/>
    </dxf>
    <dxf>
      <alignment wrapText="0"/>
    </dxf>
    <dxf>
      <alignment wrapText="0"/>
    </dxf>
    <dxf>
      <alignment wrapText="0"/>
    </dxf>
    <dxf>
      <alignment wrapText="0"/>
    </dxf>
    <dxf>
      <numFmt numFmtId="170" formatCode="[$$-409]#,##0"/>
    </dxf>
    <dxf>
      <alignment wrapText="0"/>
    </dxf>
    <dxf>
      <alignment wrapText="0"/>
    </dxf>
    <dxf>
      <alignment wrapText="0"/>
    </dxf>
    <dxf>
      <alignment wrapText="0"/>
    </dxf>
    <dxf>
      <alignment wrapText="0"/>
    </dxf>
    <dxf>
      <alignment wrapText="0"/>
    </dxf>
    <dxf>
      <font>
        <b/>
        <i val="0"/>
        <sz val="11"/>
        <color theme="0"/>
        <name val="Abadi"/>
        <family val="2"/>
        <scheme val="none"/>
      </font>
      <border diagonalUp="0" diagonalDown="0">
        <left/>
        <right/>
        <top/>
        <bottom/>
        <vertical/>
        <horizontal/>
      </border>
    </dxf>
    <dxf>
      <font>
        <sz val="11"/>
        <color theme="0"/>
        <name val="Abadi"/>
        <family val="2"/>
        <scheme val="none"/>
      </font>
      <fill>
        <patternFill>
          <bgColor rgb="FF3C1464"/>
        </patternFill>
      </fill>
      <border diagonalUp="0" diagonalDown="0">
        <left style="thin">
          <color auto="1"/>
        </left>
        <right style="thin">
          <color auto="1"/>
        </right>
        <top style="thin">
          <color auto="1"/>
        </top>
        <bottom style="thin">
          <color auto="1"/>
        </bottom>
        <vertical/>
        <horizontal/>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2"/>
        <color rgb="FFE4D2F6"/>
        <name val="Abadi"/>
        <family val="2"/>
        <scheme val="none"/>
      </font>
      <border>
        <left style="thin">
          <color rgb="FF3C1464"/>
        </left>
        <right style="thin">
          <color rgb="FF3C1464"/>
        </right>
        <top style="thin">
          <color rgb="FF3C1464"/>
        </top>
        <bottom style="thin">
          <color rgb="FF3C1464"/>
        </bottom>
      </border>
    </dxf>
    <dxf>
      <font>
        <b/>
        <i val="0"/>
        <sz val="11"/>
        <color rgb="FFE4D2F6"/>
        <name val="Abadi"/>
        <family val="2"/>
        <scheme val="none"/>
      </font>
      <fill>
        <patternFill patternType="solid">
          <fgColor theme="0"/>
          <bgColor rgb="FF3C1464"/>
        </patternFill>
      </fill>
      <border diagonalUp="0" diagonalDown="0">
        <left style="thin">
          <color rgb="FF3C1464"/>
        </left>
        <right style="thin">
          <color rgb="FF3C1464"/>
        </right>
        <top style="thin">
          <color rgb="FF3C1464"/>
        </top>
        <bottom style="thin">
          <color rgb="FF3C1464"/>
        </bottom>
        <vertical/>
        <horizontal/>
      </border>
    </dxf>
    <dxf>
      <font>
        <color theme="0"/>
      </font>
      <fill>
        <patternFill>
          <bgColor rgb="FF3C1464"/>
        </patternFill>
      </fill>
    </dxf>
    <dxf>
      <fill>
        <patternFill>
          <bgColor rgb="FFE4D2F6"/>
        </patternFill>
      </fill>
      <border>
        <left style="thin">
          <color theme="1"/>
        </left>
        <right style="thin">
          <color theme="1"/>
        </right>
        <top style="thin">
          <color theme="1"/>
        </top>
        <bottom style="thin">
          <color theme="1"/>
        </bottom>
        <vertical style="thin">
          <color theme="1"/>
        </vertical>
        <horizontal style="thin">
          <color theme="1"/>
        </horizontal>
      </border>
    </dxf>
  </dxfs>
  <tableStyles count="3" defaultTableStyle="TableStyleMedium2" defaultPivotStyle="PivotStyleMedium9">
    <tableStyle name="PivotTable Style 1" table="0" count="2" xr9:uid="{41C6EAFD-3ABF-41A1-964B-90BFD9468146}">
      <tableStyleElement type="wholeTable" dxfId="35"/>
      <tableStyleElement type="headerRow" dxfId="34"/>
    </tableStyle>
    <tableStyle name="Purple slicer" pivot="0" table="0" count="6" xr9:uid="{07DD0656-EE9E-4D02-BEB6-9DC8F7556C49}">
      <tableStyleElement type="wholeTable" dxfId="19"/>
      <tableStyleElement type="headerRow" dxfId="18"/>
    </tableStyle>
    <tableStyle name="Timeline Style 1" pivot="0" table="0" count="8" xr9:uid="{8F5C9400-424E-409C-A82B-A76C285E5EE4}">
      <tableStyleElement type="wholeTable" dxfId="33"/>
      <tableStyleElement type="headerRow" dxfId="32"/>
    </tableStyle>
  </tableStyles>
  <colors>
    <mruColors>
      <color rgb="FF3C1464"/>
      <color rgb="FF7DFFB8"/>
      <color rgb="FF00F26D"/>
      <color rgb="FF19FF81"/>
      <color rgb="FF00B050"/>
      <color rgb="FF007434"/>
      <color rgb="FF00B451"/>
      <color rgb="FFE2CFF5"/>
      <color rgb="FFFFFFFF"/>
      <color rgb="FFE4D2F6"/>
    </mruColors>
  </colors>
  <extLst>
    <ext xmlns:x14="http://schemas.microsoft.com/office/spreadsheetml/2009/9/main" uri="{46F421CA-312F-682f-3DD2-61675219B42D}">
      <x14:dxfs count="4">
        <dxf>
          <font>
            <b/>
            <i val="0"/>
            <sz val="11"/>
            <color theme="0"/>
            <name val="Abadi"/>
            <family val="2"/>
            <scheme val="none"/>
          </font>
          <border>
            <left style="thin">
              <color rgb="FFFFFFFF"/>
            </left>
            <right style="thin">
              <color rgb="FFFFFFFF"/>
            </right>
            <top style="thin">
              <color rgb="FFFFFFFF"/>
            </top>
            <bottom style="thin">
              <color rgb="FFFFFFFF"/>
            </bottom>
          </border>
        </dxf>
        <dxf>
          <font>
            <b/>
            <i val="0"/>
            <sz val="11"/>
            <color theme="0"/>
            <name val="Abadi"/>
            <family val="2"/>
            <scheme val="none"/>
          </font>
          <border diagonalUp="0" diagonalDown="0">
            <left style="thin">
              <color rgb="FFFFFFFF"/>
            </left>
            <right style="thin">
              <color rgb="FFFFFFFF"/>
            </right>
            <top style="thin">
              <color rgb="FFFFFFFF"/>
            </top>
            <bottom style="thin">
              <color rgb="FFFFFFFF"/>
            </bottom>
            <vertical/>
            <horizontal/>
          </border>
        </dxf>
        <dxf>
          <font>
            <b val="0"/>
            <i val="0"/>
            <strike/>
            <sz val="11"/>
            <color theme="0"/>
            <name val="Abadi"/>
            <family val="2"/>
            <scheme val="none"/>
          </font>
          <border>
            <left style="thin">
              <color rgb="FFFFFFFF"/>
            </left>
            <right style="thin">
              <color rgb="FFFFFFFF"/>
            </right>
            <top style="thin">
              <color rgb="FFFFFFFF"/>
            </top>
            <bottom style="thin">
              <color rgb="FFFFFFFF"/>
            </bottom>
          </border>
        </dxf>
        <dxf>
          <font>
            <b val="0"/>
            <i val="0"/>
            <strike/>
            <sz val="11"/>
            <color theme="0"/>
            <name val="Abadi"/>
            <family val="2"/>
            <scheme val="none"/>
          </font>
          <border>
            <left style="thin">
              <color rgb="FFFFFFFF"/>
            </left>
            <right style="thin">
              <color rgb="FFFFFFFF"/>
            </right>
            <top style="thin">
              <color rgb="FFFFFFFF"/>
            </top>
            <bottom style="thin">
              <color rgb="FFFFFFFF"/>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0.14996795556505021"/>
            </patternFill>
          </fill>
          <border>
            <left style="thin">
              <color auto="1"/>
            </left>
            <right style="thin">
              <color auto="1"/>
            </right>
            <top style="thin">
              <color auto="1"/>
            </top>
            <bottom style="thin">
              <color auto="1"/>
            </bottom>
          </border>
        </dxf>
        <dxf>
          <fill>
            <patternFill patternType="solid">
              <fgColor theme="0"/>
              <bgColor rgb="FF9752DC"/>
            </patternFill>
          </fill>
          <border diagonalUp="0" diagonalDown="0">
            <left style="thin">
              <color rgb="FFFFFFFF"/>
            </left>
            <right style="thin">
              <color rgb="FFFFFFFF"/>
            </right>
            <top style="thin">
              <color rgb="FFFFFFFF"/>
            </top>
            <bottom style="thin">
              <color rgb="FFFFFFFF"/>
            </bottom>
            <vertical/>
            <horizontal/>
          </border>
        </dxf>
        <dxf>
          <font>
            <b/>
            <i val="0"/>
            <sz val="11"/>
            <color rgb="FFE4D2F6"/>
            <name val="Abadi"/>
            <family val="2"/>
            <scheme val="none"/>
          </font>
        </dxf>
        <dxf>
          <font>
            <b/>
            <i val="0"/>
            <sz val="11"/>
            <color rgb="FFE4D2F6"/>
            <name val="Abadi"/>
            <family val="2"/>
            <scheme val="none"/>
          </font>
        </dxf>
        <dxf>
          <font>
            <b/>
            <i val="0"/>
            <sz val="11"/>
            <color rgb="FFE4D2F6"/>
            <name val="Abadi"/>
            <family val="2"/>
            <scheme val="none"/>
          </font>
        </dxf>
        <dxf>
          <font>
            <b/>
            <i val="0"/>
            <sz val="11"/>
            <color rgb="FFE4D2F6"/>
            <name val="Abadi"/>
            <family val="2"/>
            <scheme val="none"/>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 Dashboard.xlsx]Total Sales!TotalSales</c:name>
    <c:fmtId val="9"/>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4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55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FFC000"/>
            </a:solidFill>
            <a:round/>
          </a:ln>
          <a:effectLst/>
        </c:spPr>
        <c:marker>
          <c:symbol val="none"/>
        </c:marker>
      </c:pivotFmt>
      <c:pivotFmt>
        <c:idx val="5"/>
        <c:spPr>
          <a:solidFill>
            <a:schemeClr val="accent1"/>
          </a:solidFill>
          <a:ln w="28575" cap="rnd">
            <a:solidFill>
              <a:srgbClr val="FFC000"/>
            </a:solidFill>
            <a:round/>
          </a:ln>
          <a:effectLst/>
        </c:spPr>
        <c:marker>
          <c:symbol val="none"/>
        </c:marker>
      </c:pivotFmt>
      <c:pivotFmt>
        <c:idx val="6"/>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4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55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45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0055F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FF0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8-B563-4F88-A720-DFD5C0F280DE}"/>
            </c:ext>
          </c:extLst>
        </c:ser>
        <c:ser>
          <c:idx val="1"/>
          <c:order val="1"/>
          <c:tx>
            <c:strRef>
              <c:f>'Total Sales'!$D$3:$D$4</c:f>
              <c:strCache>
                <c:ptCount val="1"/>
                <c:pt idx="0">
                  <c:v>Excelsa</c:v>
                </c:pt>
              </c:strCache>
            </c:strRef>
          </c:tx>
          <c:spPr>
            <a:ln w="28575" cap="rnd">
              <a:solidFill>
                <a:srgbClr val="00B45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9-B563-4F88-A720-DFD5C0F280DE}"/>
            </c:ext>
          </c:extLst>
        </c:ser>
        <c:ser>
          <c:idx val="2"/>
          <c:order val="2"/>
          <c:tx>
            <c:strRef>
              <c:f>'Total Sales'!$E$3:$E$4</c:f>
              <c:strCache>
                <c:ptCount val="1"/>
                <c:pt idx="0">
                  <c:v>Liberca</c:v>
                </c:pt>
              </c:strCache>
            </c:strRef>
          </c:tx>
          <c:spPr>
            <a:ln w="28575" cap="rnd">
              <a:solidFill>
                <a:srgbClr val="FFC0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A-B563-4F88-A720-DFD5C0F280DE}"/>
            </c:ext>
          </c:extLst>
        </c:ser>
        <c:ser>
          <c:idx val="3"/>
          <c:order val="3"/>
          <c:tx>
            <c:strRef>
              <c:f>'Total Sales'!$F$3:$F$4</c:f>
              <c:strCache>
                <c:ptCount val="1"/>
                <c:pt idx="0">
                  <c:v>Robusta</c:v>
                </c:pt>
              </c:strCache>
            </c:strRef>
          </c:tx>
          <c:spPr>
            <a:ln w="28575" cap="rnd">
              <a:solidFill>
                <a:srgbClr val="0055FE"/>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B-B563-4F88-A720-DFD5C0F280DE}"/>
            </c:ext>
          </c:extLst>
        </c:ser>
        <c:dLbls>
          <c:showLegendKey val="0"/>
          <c:showVal val="0"/>
          <c:showCatName val="0"/>
          <c:showSerName val="0"/>
          <c:showPercent val="0"/>
          <c:showBubbleSize val="0"/>
        </c:dLbls>
        <c:smooth val="0"/>
        <c:axId val="564724000"/>
        <c:axId val="564720400"/>
      </c:lineChart>
      <c:catAx>
        <c:axId val="564724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720400"/>
        <c:crosses val="autoZero"/>
        <c:auto val="1"/>
        <c:lblAlgn val="ctr"/>
        <c:lblOffset val="100"/>
        <c:noMultiLvlLbl val="0"/>
      </c:catAx>
      <c:valAx>
        <c:axId val="564720400"/>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724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2F6"/>
    </a:solidFill>
    <a:ln w="9525" cap="flat" cmpd="sng" algn="ctr">
      <a:solidFill>
        <a:srgbClr val="E4D2F6"/>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 Dashboard.xlsx]Country bar chart!TotalSales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434"/>
          </a:solidFill>
          <a:ln w="25400">
            <a:solidFill>
              <a:schemeClr val="bg1"/>
            </a:solidFill>
          </a:ln>
          <a:effectLst/>
        </c:spPr>
      </c:pivotFmt>
      <c:pivotFmt>
        <c:idx val="2"/>
        <c:spPr>
          <a:solidFill>
            <a:srgbClr val="00F26D"/>
          </a:solidFill>
          <a:ln w="25400">
            <a:solidFill>
              <a:schemeClr val="bg1"/>
            </a:solidFill>
          </a:ln>
          <a:effectLst/>
        </c:spPr>
      </c:pivotFmt>
      <c:pivotFmt>
        <c:idx val="3"/>
        <c:spPr>
          <a:solidFill>
            <a:srgbClr val="7DFFB8"/>
          </a:solidFill>
          <a:ln w="25400">
            <a:solidFill>
              <a:schemeClr val="bg1"/>
            </a:solidFill>
          </a:ln>
          <a:effectLst/>
        </c:spPr>
      </c:pivotFmt>
      <c:pivotFmt>
        <c:idx val="4"/>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solidFill>
          </a:ln>
          <a:effectLst/>
        </c:spPr>
      </c:pivotFmt>
      <c:pivotFmt>
        <c:idx val="6"/>
        <c:spPr>
          <a:solidFill>
            <a:srgbClr val="00F26D"/>
          </a:solidFill>
          <a:ln w="25400">
            <a:solidFill>
              <a:schemeClr val="bg1"/>
            </a:solidFill>
          </a:ln>
          <a:effectLst/>
        </c:spPr>
      </c:pivotFmt>
      <c:pivotFmt>
        <c:idx val="7"/>
        <c:spPr>
          <a:solidFill>
            <a:srgbClr val="007434"/>
          </a:solidFill>
          <a:ln w="25400">
            <a:solidFill>
              <a:schemeClr val="bg1"/>
            </a:solidFill>
          </a:ln>
          <a:effectLst/>
        </c:spPr>
      </c:pivotFmt>
      <c:pivotFmt>
        <c:idx val="8"/>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7DFFB8"/>
          </a:solidFill>
          <a:ln w="25400">
            <a:solidFill>
              <a:schemeClr val="bg1"/>
            </a:solidFill>
          </a:ln>
          <a:effectLst/>
        </c:spPr>
      </c:pivotFmt>
      <c:pivotFmt>
        <c:idx val="10"/>
        <c:spPr>
          <a:solidFill>
            <a:srgbClr val="00F26D"/>
          </a:solidFill>
          <a:ln w="25400">
            <a:solidFill>
              <a:schemeClr val="bg1"/>
            </a:solidFill>
          </a:ln>
          <a:effectLst/>
        </c:spPr>
      </c:pivotFmt>
      <c:pivotFmt>
        <c:idx val="11"/>
        <c:spPr>
          <a:solidFill>
            <a:srgbClr val="007434"/>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rgbClr val="00B451"/>
            </a:solidFill>
            <a:ln w="25400">
              <a:solidFill>
                <a:schemeClr val="bg1"/>
              </a:solidFill>
            </a:ln>
            <a:effectLst/>
          </c:spPr>
          <c:invertIfNegative val="0"/>
          <c:dPt>
            <c:idx val="0"/>
            <c:invertIfNegative val="0"/>
            <c:bubble3D val="0"/>
            <c:spPr>
              <a:solidFill>
                <a:srgbClr val="7DFFB8"/>
              </a:solidFill>
              <a:ln w="25400">
                <a:solidFill>
                  <a:schemeClr val="bg1"/>
                </a:solidFill>
              </a:ln>
              <a:effectLst/>
            </c:spPr>
            <c:extLst>
              <c:ext xmlns:c16="http://schemas.microsoft.com/office/drawing/2014/chart" uri="{C3380CC4-5D6E-409C-BE32-E72D297353CC}">
                <c16:uniqueId val="{00000001-6670-43F7-8147-FAA709B1CFCD}"/>
              </c:ext>
            </c:extLst>
          </c:dPt>
          <c:dPt>
            <c:idx val="1"/>
            <c:invertIfNegative val="0"/>
            <c:bubble3D val="0"/>
            <c:spPr>
              <a:solidFill>
                <a:srgbClr val="00F26D"/>
              </a:solidFill>
              <a:ln w="25400">
                <a:solidFill>
                  <a:schemeClr val="bg1"/>
                </a:solidFill>
              </a:ln>
              <a:effectLst/>
            </c:spPr>
            <c:extLst>
              <c:ext xmlns:c16="http://schemas.microsoft.com/office/drawing/2014/chart" uri="{C3380CC4-5D6E-409C-BE32-E72D297353CC}">
                <c16:uniqueId val="{00000003-6670-43F7-8147-FAA709B1CFCD}"/>
              </c:ext>
            </c:extLst>
          </c:dPt>
          <c:dPt>
            <c:idx val="2"/>
            <c:invertIfNegative val="0"/>
            <c:bubble3D val="0"/>
            <c:spPr>
              <a:solidFill>
                <a:srgbClr val="007434"/>
              </a:solidFill>
              <a:ln w="25400">
                <a:solidFill>
                  <a:schemeClr val="bg1"/>
                </a:solidFill>
              </a:ln>
              <a:effectLst/>
            </c:spPr>
            <c:extLst>
              <c:ext xmlns:c16="http://schemas.microsoft.com/office/drawing/2014/chart" uri="{C3380CC4-5D6E-409C-BE32-E72D297353CC}">
                <c16:uniqueId val="{00000005-6670-43F7-8147-FAA709B1CFC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6670-43F7-8147-FAA709B1CFCD}"/>
            </c:ext>
          </c:extLst>
        </c:ser>
        <c:dLbls>
          <c:dLblPos val="outEnd"/>
          <c:showLegendKey val="0"/>
          <c:showVal val="1"/>
          <c:showCatName val="0"/>
          <c:showSerName val="0"/>
          <c:showPercent val="0"/>
          <c:showBubbleSize val="0"/>
        </c:dLbls>
        <c:gapWidth val="182"/>
        <c:axId val="756903752"/>
        <c:axId val="756903392"/>
      </c:barChart>
      <c:catAx>
        <c:axId val="756903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03392"/>
        <c:crosses val="autoZero"/>
        <c:auto val="1"/>
        <c:lblAlgn val="ctr"/>
        <c:lblOffset val="100"/>
        <c:noMultiLvlLbl val="0"/>
      </c:catAx>
      <c:valAx>
        <c:axId val="75690339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03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[Coffee Sales Project Dashboard.xlsx]Top 5 Customers!TotalSales</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434"/>
          </a:solidFill>
          <a:ln w="25400">
            <a:solidFill>
              <a:schemeClr val="bg1"/>
            </a:solidFill>
          </a:ln>
          <a:effectLst/>
        </c:spPr>
      </c:pivotFmt>
      <c:pivotFmt>
        <c:idx val="2"/>
        <c:spPr>
          <a:solidFill>
            <a:srgbClr val="00F26D"/>
          </a:solidFill>
          <a:ln w="25400">
            <a:solidFill>
              <a:schemeClr val="bg1"/>
            </a:solidFill>
          </a:ln>
          <a:effectLst/>
        </c:spPr>
      </c:pivotFmt>
      <c:pivotFmt>
        <c:idx val="3"/>
        <c:spPr>
          <a:solidFill>
            <a:srgbClr val="7DFFB8"/>
          </a:solidFill>
          <a:ln w="25400">
            <a:solidFill>
              <a:schemeClr val="bg1"/>
            </a:solidFill>
          </a:ln>
          <a:effectLst/>
        </c:spPr>
      </c:pivotFmt>
      <c:pivotFmt>
        <c:idx val="4"/>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DFFB8"/>
          </a:solidFill>
          <a:ln w="25400">
            <a:solidFill>
              <a:schemeClr val="bg1"/>
            </a:solidFill>
          </a:ln>
          <a:effectLst/>
        </c:spPr>
      </c:pivotFmt>
      <c:pivotFmt>
        <c:idx val="6"/>
        <c:spPr>
          <a:solidFill>
            <a:srgbClr val="00F26D"/>
          </a:solidFill>
          <a:ln w="25400">
            <a:solidFill>
              <a:schemeClr val="bg1"/>
            </a:solidFill>
          </a:ln>
          <a:effectLst/>
        </c:spPr>
      </c:pivotFmt>
      <c:pivotFmt>
        <c:idx val="7"/>
        <c:spPr>
          <a:solidFill>
            <a:srgbClr val="007434"/>
          </a:solidFill>
          <a:ln w="25400">
            <a:solidFill>
              <a:schemeClr val="bg1"/>
            </a:solidFill>
          </a:ln>
          <a:effectLst/>
        </c:spPr>
      </c:pivotFmt>
      <c:pivotFmt>
        <c:idx val="8"/>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451"/>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rgbClr val="00B451"/>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BC76-4A8A-B39A-7C7EDCEB1E05}"/>
              </c:ext>
            </c:extLst>
          </c:dPt>
          <c:dPt>
            <c:idx val="1"/>
            <c:invertIfNegative val="0"/>
            <c:bubble3D val="0"/>
            <c:extLst>
              <c:ext xmlns:c16="http://schemas.microsoft.com/office/drawing/2014/chart" uri="{C3380CC4-5D6E-409C-BE32-E72D297353CC}">
                <c16:uniqueId val="{00000001-BC76-4A8A-B39A-7C7EDCEB1E05}"/>
              </c:ext>
            </c:extLst>
          </c:dPt>
          <c:dPt>
            <c:idx val="2"/>
            <c:invertIfNegative val="0"/>
            <c:bubble3D val="0"/>
            <c:extLst>
              <c:ext xmlns:c16="http://schemas.microsoft.com/office/drawing/2014/chart" uri="{C3380CC4-5D6E-409C-BE32-E72D297353CC}">
                <c16:uniqueId val="{00000002-BC76-4A8A-B39A-7C7EDCEB1E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BC76-4A8A-B39A-7C7EDCEB1E05}"/>
            </c:ext>
          </c:extLst>
        </c:ser>
        <c:dLbls>
          <c:dLblPos val="outEnd"/>
          <c:showLegendKey val="0"/>
          <c:showVal val="1"/>
          <c:showCatName val="0"/>
          <c:showSerName val="0"/>
          <c:showPercent val="0"/>
          <c:showBubbleSize val="0"/>
        </c:dLbls>
        <c:gapWidth val="182"/>
        <c:axId val="756903752"/>
        <c:axId val="756903392"/>
      </c:barChart>
      <c:catAx>
        <c:axId val="756903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03392"/>
        <c:crosses val="autoZero"/>
        <c:auto val="1"/>
        <c:lblAlgn val="ctr"/>
        <c:lblOffset val="100"/>
        <c:noMultiLvlLbl val="0"/>
      </c:catAx>
      <c:valAx>
        <c:axId val="756903392"/>
        <c:scaling>
          <c:orientation val="minMax"/>
        </c:scaling>
        <c:delete val="0"/>
        <c:axPos val="b"/>
        <c:majorGridlines>
          <c:spPr>
            <a:ln w="9525" cap="flat" cmpd="sng" algn="ctr">
              <a:solidFill>
                <a:schemeClr val="bg1">
                  <a:lumMod val="9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903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2CF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4763</xdr:colOff>
      <xdr:row>1</xdr:row>
      <xdr:rowOff>2381</xdr:rowOff>
    </xdr:from>
    <xdr:to>
      <xdr:col>25</xdr:col>
      <xdr:colOff>604838</xdr:colOff>
      <xdr:row>4</xdr:row>
      <xdr:rowOff>183356</xdr:rowOff>
    </xdr:to>
    <xdr:sp macro="" textlink="">
      <xdr:nvSpPr>
        <xdr:cNvPr id="2" name="Rectangle 1">
          <a:extLst>
            <a:ext uri="{FF2B5EF4-FFF2-40B4-BE49-F238E27FC236}">
              <a16:creationId xmlns:a16="http://schemas.microsoft.com/office/drawing/2014/main" id="{B82DA202-9EFE-DF30-6798-76D6B2566BAC}"/>
            </a:ext>
          </a:extLst>
        </xdr:cNvPr>
        <xdr:cNvSpPr/>
      </xdr:nvSpPr>
      <xdr:spPr>
        <a:xfrm>
          <a:off x="119063" y="59531"/>
          <a:ext cx="14220825" cy="752475"/>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800">
              <a:solidFill>
                <a:schemeClr val="bg1"/>
              </a:solidFill>
            </a:rPr>
            <a:t>COFFEE SALES DASHBOARD</a:t>
          </a:r>
        </a:p>
      </xdr:txBody>
    </xdr:sp>
    <xdr:clientData/>
  </xdr:twoCellAnchor>
  <xdr:twoCellAnchor>
    <xdr:from>
      <xdr:col>1</xdr:col>
      <xdr:colOff>10582</xdr:colOff>
      <xdr:row>17</xdr:row>
      <xdr:rowOff>10583</xdr:rowOff>
    </xdr:from>
    <xdr:to>
      <xdr:col>15</xdr:col>
      <xdr:colOff>1511</xdr:colOff>
      <xdr:row>40</xdr:row>
      <xdr:rowOff>0</xdr:rowOff>
    </xdr:to>
    <xdr:graphicFrame macro="">
      <xdr:nvGraphicFramePr>
        <xdr:cNvPr id="3" name="Chart 2">
          <a:extLst>
            <a:ext uri="{FF2B5EF4-FFF2-40B4-BE49-F238E27FC236}">
              <a16:creationId xmlns:a16="http://schemas.microsoft.com/office/drawing/2014/main" id="{24DE6A9B-0463-40E4-A7D6-CF8862EAD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3072</xdr:colOff>
      <xdr:row>6</xdr:row>
      <xdr:rowOff>616</xdr:rowOff>
    </xdr:from>
    <xdr:to>
      <xdr:col>18</xdr:col>
      <xdr:colOff>0</xdr:colOff>
      <xdr:row>15</xdr:row>
      <xdr:rowOff>176893</xdr:rowOff>
    </xdr:to>
    <mc:AlternateContent xmlns:mc="http://schemas.openxmlformats.org/markup-compatibility/2006">
      <mc:Choice xmlns:tsle="http://schemas.microsoft.com/office/drawing/2012/timeslicer" Requires="tsle">
        <xdr:graphicFrame macro="">
          <xdr:nvGraphicFramePr>
            <xdr:cNvPr id="4" name="Order Date">
              <a:extLst>
                <a:ext uri="{FF2B5EF4-FFF2-40B4-BE49-F238E27FC236}">
                  <a16:creationId xmlns:a16="http://schemas.microsoft.com/office/drawing/2014/main" id="{6D27302F-7C1F-4759-9928-686CEB1728FF}"/>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71108" y="898687"/>
              <a:ext cx="9889321" cy="179552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92870</xdr:colOff>
      <xdr:row>11</xdr:row>
      <xdr:rowOff>3795</xdr:rowOff>
    </xdr:from>
    <xdr:to>
      <xdr:col>22</xdr:col>
      <xdr:colOff>2382</xdr:colOff>
      <xdr:row>16</xdr:row>
      <xdr:rowOff>5292</xdr:rowOff>
    </xdr:to>
    <mc:AlternateContent xmlns:mc="http://schemas.openxmlformats.org/markup-compatibility/2006">
      <mc:Choice xmlns:a14="http://schemas.microsoft.com/office/drawing/2010/main" Requires="a14">
        <xdr:graphicFrame macro="">
          <xdr:nvGraphicFramePr>
            <xdr:cNvPr id="5" name="Size">
              <a:extLst>
                <a:ext uri="{FF2B5EF4-FFF2-40B4-BE49-F238E27FC236}">
                  <a16:creationId xmlns:a16="http://schemas.microsoft.com/office/drawing/2014/main" id="{2E2AC707-485C-4879-811D-1441D4890112}"/>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053299" y="1759116"/>
              <a:ext cx="1841726" cy="9539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2382</xdr:colOff>
      <xdr:row>6</xdr:row>
      <xdr:rowOff>2093</xdr:rowOff>
    </xdr:from>
    <xdr:to>
      <xdr:col>26</xdr:col>
      <xdr:colOff>1083</xdr:colOff>
      <xdr:row>10</xdr:row>
      <xdr:rowOff>2567</xdr:rowOff>
    </xdr:to>
    <mc:AlternateContent xmlns:mc="http://schemas.openxmlformats.org/markup-compatibility/2006">
      <mc:Choice xmlns:a14="http://schemas.microsoft.com/office/drawing/2010/main" Requires="a14">
        <xdr:graphicFrame macro="">
          <xdr:nvGraphicFramePr>
            <xdr:cNvPr id="6" name="Roast Type Name">
              <a:extLst>
                <a:ext uri="{FF2B5EF4-FFF2-40B4-BE49-F238E27FC236}">
                  <a16:creationId xmlns:a16="http://schemas.microsoft.com/office/drawing/2014/main" id="{E00A7A25-5B66-466C-B3AD-AFD3EF337901}"/>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058061" y="900164"/>
              <a:ext cx="3781486" cy="762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3726</xdr:colOff>
      <xdr:row>11</xdr:row>
      <xdr:rowOff>739</xdr:rowOff>
    </xdr:from>
    <xdr:to>
      <xdr:col>26</xdr:col>
      <xdr:colOff>2964</xdr:colOff>
      <xdr:row>16</xdr:row>
      <xdr:rowOff>348</xdr:rowOff>
    </xdr:to>
    <mc:AlternateContent xmlns:mc="http://schemas.openxmlformats.org/markup-compatibility/2006">
      <mc:Choice xmlns:a14="http://schemas.microsoft.com/office/drawing/2010/main" Requires="a14">
        <xdr:graphicFrame macro="">
          <xdr:nvGraphicFramePr>
            <xdr:cNvPr id="7" name="Loyalty Card">
              <a:extLst>
                <a:ext uri="{FF2B5EF4-FFF2-40B4-BE49-F238E27FC236}">
                  <a16:creationId xmlns:a16="http://schemas.microsoft.com/office/drawing/2014/main" id="{83B1096E-D9F5-4298-9023-FAF62671AE3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005226" y="1756060"/>
              <a:ext cx="1836202" cy="9521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7144</xdr:colOff>
      <xdr:row>17</xdr:row>
      <xdr:rowOff>2</xdr:rowOff>
    </xdr:from>
    <xdr:to>
      <xdr:col>25</xdr:col>
      <xdr:colOff>609599</xdr:colOff>
      <xdr:row>26</xdr:row>
      <xdr:rowOff>185738</xdr:rowOff>
    </xdr:to>
    <xdr:graphicFrame macro="">
      <xdr:nvGraphicFramePr>
        <xdr:cNvPr id="8" name="Chart 7">
          <a:extLst>
            <a:ext uri="{FF2B5EF4-FFF2-40B4-BE49-F238E27FC236}">
              <a16:creationId xmlns:a16="http://schemas.microsoft.com/office/drawing/2014/main" id="{445976C9-E614-4002-9137-BA4A720712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608420</xdr:colOff>
      <xdr:row>27</xdr:row>
      <xdr:rowOff>190610</xdr:rowOff>
    </xdr:from>
    <xdr:to>
      <xdr:col>26</xdr:col>
      <xdr:colOff>0</xdr:colOff>
      <xdr:row>40</xdr:row>
      <xdr:rowOff>8740</xdr:rowOff>
    </xdr:to>
    <xdr:graphicFrame macro="">
      <xdr:nvGraphicFramePr>
        <xdr:cNvPr id="9" name="Chart 8">
          <a:extLst>
            <a:ext uri="{FF2B5EF4-FFF2-40B4-BE49-F238E27FC236}">
              <a16:creationId xmlns:a16="http://schemas.microsoft.com/office/drawing/2014/main" id="{454E2F61-CEE5-45DC-B38C-AD3BA41570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68.741762268517" createdVersion="8" refreshedVersion="8" minRefreshableVersion="3" recordCount="1000" xr:uid="{40B1FAF5-189D-4651-9058-B432B9393C9C}">
  <cacheSource type="worksheet">
    <worksheetSource name="Orders"/>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974184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7A73EC-C769-4754-980D-7EB30B1B1229}"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168"/>
  </dataFields>
  <formats count="6">
    <format dxfId="12">
      <pivotArea type="origin" dataOnly="0" labelOnly="1" outline="0" fieldPosition="0"/>
    </format>
    <format dxfId="13">
      <pivotArea field="13" type="button" dataOnly="0" labelOnly="1" outline="0" axis="axisCol" fieldPosition="0"/>
    </format>
    <format dxfId="14">
      <pivotArea type="topRight" dataOnly="0" labelOnly="1" outline="0" fieldPosition="0"/>
    </format>
    <format dxfId="15">
      <pivotArea field="17" type="button" dataOnly="0" labelOnly="1" outline="0" axis="axisRow" fieldPosition="0"/>
    </format>
    <format dxfId="16">
      <pivotArea field="16" type="button" dataOnly="0" labelOnly="1" outline="0" axis="axisRow" fieldPosition="1"/>
    </format>
    <format dxfId="17">
      <pivotArea dataOnly="0" labelOnly="1" outline="0" fieldPosition="0">
        <references count="1">
          <reference field="13" count="0"/>
        </references>
      </pivotArea>
    </format>
  </formats>
  <chartFormats count="4">
    <chartFormat chart="9" format="10" series="1">
      <pivotArea type="data" outline="0" fieldPosition="0">
        <references count="2">
          <reference field="4294967294" count="1" selected="0">
            <x v="0"/>
          </reference>
          <reference field="13" count="1" selected="0">
            <x v="0"/>
          </reference>
        </references>
      </pivotArea>
    </chartFormat>
    <chartFormat chart="9" format="11" series="1">
      <pivotArea type="data" outline="0" fieldPosition="0">
        <references count="2">
          <reference field="4294967294" count="1" selected="0">
            <x v="0"/>
          </reference>
          <reference field="13" count="1" selected="0">
            <x v="1"/>
          </reference>
        </references>
      </pivotArea>
    </chartFormat>
    <chartFormat chart="9" format="12" series="1">
      <pivotArea type="data" outline="0" fieldPosition="0">
        <references count="2">
          <reference field="4294967294" count="1" selected="0">
            <x v="0"/>
          </reference>
          <reference field="13" count="1" selected="0">
            <x v="2"/>
          </reference>
        </references>
      </pivotArea>
    </chartFormat>
    <chartFormat chart="9" format="13"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A09FB5-606E-45C0-B581-C71F13F87A55}"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8">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70"/>
  </dataFields>
  <formats count="6">
    <format dxfId="6">
      <pivotArea type="origin" dataOnly="0" labelOnly="1" outline="0" fieldPosition="0"/>
    </format>
    <format dxfId="7">
      <pivotArea field="13" type="button" dataOnly="0" labelOnly="1" outline="0"/>
    </format>
    <format dxfId="8">
      <pivotArea type="topRight" dataOnly="0" labelOnly="1" outline="0" fieldPosition="0"/>
    </format>
    <format dxfId="9">
      <pivotArea field="17" type="button" dataOnly="0" labelOnly="1" outline="0"/>
    </format>
    <format dxfId="10">
      <pivotArea field="16" type="button" dataOnly="0" labelOnly="1" outline="0"/>
    </format>
    <format dxfId="11">
      <pivotArea outline="0" fieldPosition="0">
        <references count="1">
          <reference field="4294967294" count="1">
            <x v="0"/>
          </reference>
        </references>
      </pivotArea>
    </format>
  </formats>
  <chartFormats count="4">
    <chartFormat chart="17" format="8" series="1">
      <pivotArea type="data" outline="0" fieldPosition="0">
        <references count="1">
          <reference field="4294967294" count="1" selected="0">
            <x v="0"/>
          </reference>
        </references>
      </pivotArea>
    </chartFormat>
    <chartFormat chart="17" format="9">
      <pivotArea type="data" outline="0" fieldPosition="0">
        <references count="2">
          <reference field="4294967294" count="1" selected="0">
            <x v="0"/>
          </reference>
          <reference field="7" count="1" selected="0">
            <x v="1"/>
          </reference>
        </references>
      </pivotArea>
    </chartFormat>
    <chartFormat chart="17" format="10">
      <pivotArea type="data" outline="0" fieldPosition="0">
        <references count="2">
          <reference field="4294967294" count="1" selected="0">
            <x v="0"/>
          </reference>
          <reference field="7" count="1" selected="0">
            <x v="0"/>
          </reference>
        </references>
      </pivotArea>
    </chartFormat>
    <chartFormat chart="17"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E46A8B-94B3-4DA5-AE1C-91CBD17916B9}" name="TotalSales" cacheId="12"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70"/>
  </dataFields>
  <formats count="6">
    <format dxfId="0">
      <pivotArea type="origin" dataOnly="0" labelOnly="1" outline="0" fieldPosition="0"/>
    </format>
    <format dxfId="1">
      <pivotArea field="13" type="button" dataOnly="0" labelOnly="1" outline="0"/>
    </format>
    <format dxfId="2">
      <pivotArea type="topRight" dataOnly="0" labelOnly="1" outline="0" fieldPosition="0"/>
    </format>
    <format dxfId="3">
      <pivotArea field="17" type="button" dataOnly="0" labelOnly="1" outline="0"/>
    </format>
    <format dxfId="4">
      <pivotArea field="16" type="button" dataOnly="0" labelOnly="1" outline="0"/>
    </format>
    <format dxfId="5">
      <pivotArea outline="0" fieldPosition="0">
        <references count="1">
          <reference field="4294967294" count="1">
            <x v="0"/>
          </reference>
        </references>
      </pivotArea>
    </format>
  </formats>
  <chartFormats count="4">
    <chartFormat chart="8" format="1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6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01BD7B9B-74A7-4054-9E56-38A80ED85115}" sourceName="Size">
  <pivotTables>
    <pivotTable tabId="19" name="TotalSales"/>
    <pivotTable tabId="20" name="TotalSales"/>
    <pivotTable tabId="21" name="TotalSales"/>
  </pivotTables>
  <data>
    <tabular pivotCacheId="97418459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780AD158-DD86-4DD4-932D-315FE3D610D4}" sourceName="Roast Type Name">
  <pivotTables>
    <pivotTable tabId="19" name="TotalSales"/>
    <pivotTable tabId="20" name="TotalSales"/>
    <pivotTable tabId="21" name="TotalSales"/>
  </pivotTables>
  <data>
    <tabular pivotCacheId="97418459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7D6B961-B503-4F66-9824-9B2D002D137E}" sourceName="Loyalty Card">
  <pivotTables>
    <pivotTable tabId="19" name="TotalSales"/>
    <pivotTable tabId="20" name="TotalSales"/>
    <pivotTable tabId="21" name="TotalSales"/>
  </pivotTables>
  <data>
    <tabular pivotCacheId="97418459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A6E9B228-C035-4B19-B983-538D64F63A4C}" cache="Slicer_Size" caption="Size" columnCount="2" style="Purple slicer" rowHeight="241300"/>
  <slicer name="Roast Type Name" xr10:uid="{5AD03DCB-17EC-42DC-910B-1C532F0E28E4}" cache="Slicer_Roast_Type_Name" caption="Roast Type Name" columnCount="3" style="Purple slicer" rowHeight="241300"/>
  <slicer name="Loyalty Card" xr10:uid="{B05A4FBF-A2EC-408E-933E-4DA1F7FF95C5}"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316989-1668-4661-953E-6D83265C3E3D}" name="Orders" displayName="Orders" ref="A1:P1001" totalsRowShown="0" headerRowDxfId="31">
  <autoFilter ref="A1:P1001" xr:uid="{F6316989-1668-4661-953E-6D83265C3E3D}"/>
  <tableColumns count="16">
    <tableColumn id="1" xr3:uid="{BB706A9E-74E0-444C-B66E-3A81EEB19809}" name="Order ID" dataDxfId="30"/>
    <tableColumn id="2" xr3:uid="{5D0F5D1A-024B-480B-B985-7FB831ED30A6}" name="Order Date" dataDxfId="29"/>
    <tableColumn id="3" xr3:uid="{9138B6D5-6DB0-4AF3-BE88-31E43B42878F}" name="Customer ID" dataDxfId="28"/>
    <tableColumn id="4" xr3:uid="{4E58C47C-E10E-48CD-A2D8-2EB3E1BB9024}" name="Product ID"/>
    <tableColumn id="5" xr3:uid="{572E6E6E-7407-4C27-AC14-91A8CF45A4F2}" name="Quantity" dataDxfId="27"/>
    <tableColumn id="6" xr3:uid="{B09C8F6A-8D1C-4B6F-BF03-2BDE34376562}" name="Customer Name" dataDxfId="26">
      <calculatedColumnFormula>_xlfn.XLOOKUP(C2,customers!$A$1:$A$1001,customers!$B$1:$B$1001,,0)</calculatedColumnFormula>
    </tableColumn>
    <tableColumn id="7" xr3:uid="{0D3CA8A4-E5A4-4CA6-B6B1-FDD627083CE0}" name="Email" dataDxfId="25">
      <calculatedColumnFormula>IF(_xlfn.XLOOKUP(C2,customers!$A$1:$A$1001,customers!$C$1:$C$1001,,0)=0,"",_xlfn.XLOOKUP(C2,customers!$A$1:$A$1001,customers!$C$1:$C$1001,,0))</calculatedColumnFormula>
    </tableColumn>
    <tableColumn id="8" xr3:uid="{3ABD0D03-B81C-45D1-BFFC-620EF4AF1314}" name="Country" dataDxfId="24">
      <calculatedColumnFormula>_xlfn.XLOOKUP(C2,customers!$A$1:$A$1001,customers!$G$1:$G$1001,,0)</calculatedColumnFormula>
    </tableColumn>
    <tableColumn id="9" xr3:uid="{06307198-935B-428B-A65E-B225258489B9}" name="Coffee Type">
      <calculatedColumnFormula>INDEX(products!$A$1:$G$49,MATCH(orders!$D2,products!$A$1:$A$49,0),MATCH(orders!I$1,products!$A$1:$G$1,0))</calculatedColumnFormula>
    </tableColumn>
    <tableColumn id="10" xr3:uid="{B498F28B-4ABD-4FBD-9658-42E104579828}" name="Roast Type">
      <calculatedColumnFormula>INDEX(products!$A$1:$G$49,MATCH(orders!$D2,products!$A$1:$A$49,0),MATCH(orders!J$1,products!$A$1:$G$1,0))</calculatedColumnFormula>
    </tableColumn>
    <tableColumn id="11" xr3:uid="{41DCE59C-12F8-4569-8DB1-DE815C58935A}" name="Size" dataDxfId="23">
      <calculatedColumnFormula>INDEX(products!$A$1:$G$49,MATCH(orders!$D2,products!$A$1:$A$49,0),MATCH(orders!K$1,products!$A$1:$G$1,0))</calculatedColumnFormula>
    </tableColumn>
    <tableColumn id="12" xr3:uid="{F01A1A56-89CA-4B84-A62F-AE73E18A31F4}" name="Unit Price" dataDxfId="22">
      <calculatedColumnFormula>INDEX(products!$A$1:$G$49,MATCH(orders!$D2,products!$A$1:$A$49,0),MATCH(orders!L$1,products!$A$1:$G$1,0))</calculatedColumnFormula>
    </tableColumn>
    <tableColumn id="13" xr3:uid="{1AA151F1-BAA8-4A71-95D6-A117975ABFC5}" name="Sales" dataDxfId="21">
      <calculatedColumnFormula>L2*E2</calculatedColumnFormula>
    </tableColumn>
    <tableColumn id="14" xr3:uid="{FB0484FB-AF8C-460E-BC7F-F9C6FCE077D7}" name="Coffee Type Name">
      <calculatedColumnFormula>IF(I2="Rob","Robusta",IF(I2 = "Exc","Excelsa",IF(I2="Ara","Arabica",IF(I2="Lib","Liberca",""))))</calculatedColumnFormula>
    </tableColumn>
    <tableColumn id="15" xr3:uid="{CFCC63A3-AA66-410E-B011-694BD34611BE}" name="Roast Type Name">
      <calculatedColumnFormula>IF(J2="M","Medium",IF(J2="L","Light",IF(J2="D","Dark","")))</calculatedColumnFormula>
    </tableColumn>
    <tableColumn id="16" xr3:uid="{28432365-F9BC-49D4-9A26-336EA86453BB}" name="Loyalty Card" dataDxfId="20">
      <calculatedColumnFormula>_xlfn.XLOOKUP(Orders[[#This Row],[Customer ID]],customers!$A$1:$A$1001,customers!$I$1:$I$1001,,0)</calculatedColumnFormula>
    </tableColumn>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112946-9E7B-4C0D-B365-8F6E79F558B7}" sourceName="Order Date">
  <pivotTables>
    <pivotTable tabId="19" name="TotalSales"/>
    <pivotTable tabId="20" name="TotalSales"/>
    <pivotTable tabId="21" name="TotalSales"/>
  </pivotTables>
  <state minimalRefreshVersion="6" lastRefreshVersion="6" pivotCacheId="97418459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5F1A1089-7951-4A4C-A0D9-674B7F00364A}" cache="NativeTimeline_Order_Date" caption="Order Date" level="2" selectionLevel="2" scrollPosition="2021-07-21T00:00:00" style="Timeline Style 1"/>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0B97-8CAC-4CEB-9009-36DC3289BEB5}">
  <dimension ref="A2:F48"/>
  <sheetViews>
    <sheetView zoomScale="70" zoomScaleNormal="70" workbookViewId="0">
      <selection activeCell="AB21" sqref="AB21"/>
    </sheetView>
  </sheetViews>
  <sheetFormatPr defaultRowHeight="15" x14ac:dyDescent="0.25"/>
  <cols>
    <col min="1" max="1" width="22.7109375" bestFit="1" customWidth="1"/>
    <col min="2" max="2" width="27.7109375" bestFit="1" customWidth="1"/>
    <col min="3" max="3" width="25.7109375" bestFit="1" customWidth="1"/>
    <col min="4" max="4" width="10.5703125" bestFit="1" customWidth="1"/>
    <col min="5" max="5" width="10.28515625" bestFit="1" customWidth="1"/>
    <col min="6" max="6" width="11.140625" bestFit="1" customWidth="1"/>
  </cols>
  <sheetData>
    <row r="2" spans="1:6" x14ac:dyDescent="0.25">
      <c r="A2" s="7"/>
      <c r="B2" s="7"/>
      <c r="C2" s="7"/>
      <c r="D2" s="7"/>
      <c r="E2" s="7"/>
      <c r="F2" s="7"/>
    </row>
    <row r="3" spans="1:6" x14ac:dyDescent="0.25">
      <c r="A3" s="9" t="s">
        <v>6211</v>
      </c>
      <c r="B3" s="10"/>
      <c r="C3" s="9" t="s">
        <v>6196</v>
      </c>
      <c r="D3" s="10"/>
      <c r="E3" s="10"/>
      <c r="F3" s="10"/>
    </row>
    <row r="4" spans="1:6" x14ac:dyDescent="0.25">
      <c r="A4" s="9" t="s">
        <v>6205</v>
      </c>
      <c r="B4" s="9" t="s">
        <v>6206</v>
      </c>
      <c r="C4" s="10" t="s">
        <v>6207</v>
      </c>
      <c r="D4" s="10" t="s">
        <v>6208</v>
      </c>
      <c r="E4" s="10" t="s">
        <v>6209</v>
      </c>
      <c r="F4" s="10" t="s">
        <v>6210</v>
      </c>
    </row>
    <row r="5" spans="1:6" x14ac:dyDescent="0.25">
      <c r="A5" t="s">
        <v>6198</v>
      </c>
      <c r="B5" t="s">
        <v>6212</v>
      </c>
      <c r="C5" s="6">
        <v>186.85499999999999</v>
      </c>
      <c r="D5" s="6">
        <v>305.97000000000003</v>
      </c>
      <c r="E5" s="6">
        <v>213.15999999999997</v>
      </c>
      <c r="F5" s="6">
        <v>123</v>
      </c>
    </row>
    <row r="6" spans="1:6" x14ac:dyDescent="0.25">
      <c r="B6" t="s">
        <v>6213</v>
      </c>
      <c r="C6" s="6">
        <v>251.96499999999997</v>
      </c>
      <c r="D6" s="6">
        <v>129.46</v>
      </c>
      <c r="E6" s="6">
        <v>434.03999999999996</v>
      </c>
      <c r="F6" s="6">
        <v>171.93999999999997</v>
      </c>
    </row>
    <row r="7" spans="1:6" x14ac:dyDescent="0.25">
      <c r="B7" t="s">
        <v>6214</v>
      </c>
      <c r="C7" s="6">
        <v>224.94499999999999</v>
      </c>
      <c r="D7" s="6">
        <v>349.12</v>
      </c>
      <c r="E7" s="6">
        <v>321.04000000000002</v>
      </c>
      <c r="F7" s="6">
        <v>126.035</v>
      </c>
    </row>
    <row r="8" spans="1:6" x14ac:dyDescent="0.25">
      <c r="B8" t="s">
        <v>6215</v>
      </c>
      <c r="C8" s="6">
        <v>307.12</v>
      </c>
      <c r="D8" s="6">
        <v>681.07499999999993</v>
      </c>
      <c r="E8" s="6">
        <v>533.70499999999993</v>
      </c>
      <c r="F8" s="6">
        <v>158.85</v>
      </c>
    </row>
    <row r="9" spans="1:6" x14ac:dyDescent="0.25">
      <c r="B9" t="s">
        <v>6199</v>
      </c>
      <c r="C9" s="6">
        <v>53.664999999999992</v>
      </c>
      <c r="D9" s="6">
        <v>83.025000000000006</v>
      </c>
      <c r="E9" s="6">
        <v>193.83499999999998</v>
      </c>
      <c r="F9" s="6">
        <v>68.039999999999992</v>
      </c>
    </row>
    <row r="10" spans="1:6" x14ac:dyDescent="0.25">
      <c r="B10" t="s">
        <v>6200</v>
      </c>
      <c r="C10" s="6">
        <v>163.01999999999998</v>
      </c>
      <c r="D10" s="6">
        <v>678.3599999999999</v>
      </c>
      <c r="E10" s="6">
        <v>171.04500000000002</v>
      </c>
      <c r="F10" s="6">
        <v>372.255</v>
      </c>
    </row>
    <row r="11" spans="1:6" x14ac:dyDescent="0.25">
      <c r="B11" t="s">
        <v>6201</v>
      </c>
      <c r="C11" s="6">
        <v>345.02</v>
      </c>
      <c r="D11" s="6">
        <v>273.86999999999995</v>
      </c>
      <c r="E11" s="6">
        <v>184.12999999999997</v>
      </c>
      <c r="F11" s="6">
        <v>201.11499999999998</v>
      </c>
    </row>
    <row r="12" spans="1:6" x14ac:dyDescent="0.25">
      <c r="B12" t="s">
        <v>6202</v>
      </c>
      <c r="C12" s="6">
        <v>334.89</v>
      </c>
      <c r="D12" s="6">
        <v>70.95</v>
      </c>
      <c r="E12" s="6">
        <v>134.23000000000002</v>
      </c>
      <c r="F12" s="6">
        <v>166.27499999999998</v>
      </c>
    </row>
    <row r="13" spans="1:6" x14ac:dyDescent="0.25">
      <c r="B13" t="s">
        <v>6203</v>
      </c>
      <c r="C13" s="6">
        <v>178.70999999999998</v>
      </c>
      <c r="D13" s="6">
        <v>166.1</v>
      </c>
      <c r="E13" s="6">
        <v>439.30999999999995</v>
      </c>
      <c r="F13" s="6">
        <v>492.9</v>
      </c>
    </row>
    <row r="14" spans="1:6" x14ac:dyDescent="0.25">
      <c r="B14" t="s">
        <v>6204</v>
      </c>
      <c r="C14" s="6">
        <v>301.98500000000001</v>
      </c>
      <c r="D14" s="6">
        <v>153.76499999999999</v>
      </c>
      <c r="E14" s="6">
        <v>215.55499999999998</v>
      </c>
      <c r="F14" s="6">
        <v>213.66499999999999</v>
      </c>
    </row>
    <row r="15" spans="1:6" x14ac:dyDescent="0.25">
      <c r="B15" t="s">
        <v>6216</v>
      </c>
      <c r="C15" s="6">
        <v>312.83499999999998</v>
      </c>
      <c r="D15" s="6">
        <v>63.249999999999993</v>
      </c>
      <c r="E15" s="6">
        <v>350.89500000000004</v>
      </c>
      <c r="F15" s="6">
        <v>96.405000000000001</v>
      </c>
    </row>
    <row r="16" spans="1:6" x14ac:dyDescent="0.25">
      <c r="B16" t="s">
        <v>6217</v>
      </c>
      <c r="C16" s="6">
        <v>265.62</v>
      </c>
      <c r="D16" s="6">
        <v>526.51499999999987</v>
      </c>
      <c r="E16" s="6">
        <v>187.06</v>
      </c>
      <c r="F16" s="6">
        <v>210.58999999999997</v>
      </c>
    </row>
    <row r="17" spans="1:6" x14ac:dyDescent="0.25">
      <c r="A17" t="s">
        <v>6218</v>
      </c>
      <c r="B17" t="s">
        <v>6212</v>
      </c>
      <c r="C17" s="6">
        <v>47.25</v>
      </c>
      <c r="D17" s="6">
        <v>65.805000000000007</v>
      </c>
      <c r="E17" s="6">
        <v>274.67500000000001</v>
      </c>
      <c r="F17" s="6">
        <v>179.22</v>
      </c>
    </row>
    <row r="18" spans="1:6" x14ac:dyDescent="0.25">
      <c r="B18" t="s">
        <v>6213</v>
      </c>
      <c r="C18" s="6">
        <v>745.44999999999993</v>
      </c>
      <c r="D18" s="6">
        <v>428.88499999999999</v>
      </c>
      <c r="E18" s="6">
        <v>194.17499999999998</v>
      </c>
      <c r="F18" s="6">
        <v>429.82999999999993</v>
      </c>
    </row>
    <row r="19" spans="1:6" x14ac:dyDescent="0.25">
      <c r="B19" t="s">
        <v>6214</v>
      </c>
      <c r="C19" s="6">
        <v>130.47</v>
      </c>
      <c r="D19" s="6">
        <v>271.48500000000001</v>
      </c>
      <c r="E19" s="6">
        <v>281.20499999999998</v>
      </c>
      <c r="F19" s="6">
        <v>231.63000000000002</v>
      </c>
    </row>
    <row r="20" spans="1:6" x14ac:dyDescent="0.25">
      <c r="B20" t="s">
        <v>6215</v>
      </c>
      <c r="C20" s="6">
        <v>27</v>
      </c>
      <c r="D20" s="6">
        <v>347.26</v>
      </c>
      <c r="E20" s="6">
        <v>147.51</v>
      </c>
      <c r="F20" s="6">
        <v>240.04</v>
      </c>
    </row>
    <row r="21" spans="1:6" x14ac:dyDescent="0.25">
      <c r="B21" t="s">
        <v>6199</v>
      </c>
      <c r="C21" s="6">
        <v>255.11499999999995</v>
      </c>
      <c r="D21" s="6">
        <v>541.73</v>
      </c>
      <c r="E21" s="6">
        <v>83.43</v>
      </c>
      <c r="F21" s="6">
        <v>59.079999999999991</v>
      </c>
    </row>
    <row r="22" spans="1:6" x14ac:dyDescent="0.25">
      <c r="B22" t="s">
        <v>6200</v>
      </c>
      <c r="C22" s="6">
        <v>584.78999999999985</v>
      </c>
      <c r="D22" s="6">
        <v>357.42999999999995</v>
      </c>
      <c r="E22" s="6">
        <v>355.34</v>
      </c>
      <c r="F22" s="6">
        <v>140.88</v>
      </c>
    </row>
    <row r="23" spans="1:6" x14ac:dyDescent="0.25">
      <c r="B23" t="s">
        <v>6201</v>
      </c>
      <c r="C23" s="6">
        <v>430.62</v>
      </c>
      <c r="D23" s="6">
        <v>227.42500000000001</v>
      </c>
      <c r="E23" s="6">
        <v>236.315</v>
      </c>
      <c r="F23" s="6">
        <v>414.58499999999992</v>
      </c>
    </row>
    <row r="24" spans="1:6" x14ac:dyDescent="0.25">
      <c r="B24" t="s">
        <v>6202</v>
      </c>
      <c r="C24" s="6">
        <v>22.5</v>
      </c>
      <c r="D24" s="6">
        <v>77.72</v>
      </c>
      <c r="E24" s="6">
        <v>60.5</v>
      </c>
      <c r="F24" s="6">
        <v>139.67999999999998</v>
      </c>
    </row>
    <row r="25" spans="1:6" x14ac:dyDescent="0.25">
      <c r="B25" t="s">
        <v>6203</v>
      </c>
      <c r="C25" s="6">
        <v>126.14999999999999</v>
      </c>
      <c r="D25" s="6">
        <v>195.11</v>
      </c>
      <c r="E25" s="6">
        <v>89.13</v>
      </c>
      <c r="F25" s="6">
        <v>302.65999999999997</v>
      </c>
    </row>
    <row r="26" spans="1:6" x14ac:dyDescent="0.25">
      <c r="B26" t="s">
        <v>6204</v>
      </c>
      <c r="C26" s="6">
        <v>376.03</v>
      </c>
      <c r="D26" s="6">
        <v>523.24</v>
      </c>
      <c r="E26" s="6">
        <v>440.96499999999997</v>
      </c>
      <c r="F26" s="6">
        <v>174.46999999999997</v>
      </c>
    </row>
    <row r="27" spans="1:6" x14ac:dyDescent="0.25">
      <c r="B27" t="s">
        <v>6216</v>
      </c>
      <c r="C27" s="6">
        <v>515.17999999999995</v>
      </c>
      <c r="D27" s="6">
        <v>142.56</v>
      </c>
      <c r="E27" s="6">
        <v>347.03999999999996</v>
      </c>
      <c r="F27" s="6">
        <v>104.08499999999999</v>
      </c>
    </row>
    <row r="28" spans="1:6" x14ac:dyDescent="0.25">
      <c r="B28" t="s">
        <v>6217</v>
      </c>
      <c r="C28" s="6">
        <v>95.859999999999985</v>
      </c>
      <c r="D28" s="6">
        <v>484.76</v>
      </c>
      <c r="E28" s="6">
        <v>94.17</v>
      </c>
      <c r="F28" s="6">
        <v>77.10499999999999</v>
      </c>
    </row>
    <row r="29" spans="1:6" x14ac:dyDescent="0.25">
      <c r="A29" t="s">
        <v>6219</v>
      </c>
      <c r="B29" t="s">
        <v>6212</v>
      </c>
      <c r="C29" s="6">
        <v>258.34500000000003</v>
      </c>
      <c r="D29" s="6">
        <v>139.625</v>
      </c>
      <c r="E29" s="6">
        <v>279.52000000000004</v>
      </c>
      <c r="F29" s="6">
        <v>160.19499999999999</v>
      </c>
    </row>
    <row r="30" spans="1:6" x14ac:dyDescent="0.25">
      <c r="B30" t="s">
        <v>6213</v>
      </c>
      <c r="C30" s="6">
        <v>342.2</v>
      </c>
      <c r="D30" s="6">
        <v>284.24999999999994</v>
      </c>
      <c r="E30" s="6">
        <v>251.83</v>
      </c>
      <c r="F30" s="6">
        <v>80.550000000000011</v>
      </c>
    </row>
    <row r="31" spans="1:6" x14ac:dyDescent="0.25">
      <c r="B31" t="s">
        <v>6214</v>
      </c>
      <c r="C31" s="6">
        <v>418.30499999999989</v>
      </c>
      <c r="D31" s="6">
        <v>468.125</v>
      </c>
      <c r="E31" s="6">
        <v>405.05500000000006</v>
      </c>
      <c r="F31" s="6">
        <v>253.15499999999997</v>
      </c>
    </row>
    <row r="32" spans="1:6" x14ac:dyDescent="0.25">
      <c r="B32" t="s">
        <v>6215</v>
      </c>
      <c r="C32" s="6">
        <v>102.32999999999998</v>
      </c>
      <c r="D32" s="6">
        <v>242.14000000000001</v>
      </c>
      <c r="E32" s="6">
        <v>554.875</v>
      </c>
      <c r="F32" s="6">
        <v>106.23999999999998</v>
      </c>
    </row>
    <row r="33" spans="1:6" x14ac:dyDescent="0.25">
      <c r="B33" t="s">
        <v>6199</v>
      </c>
      <c r="C33" s="6">
        <v>234.71999999999997</v>
      </c>
      <c r="D33" s="6">
        <v>133.08000000000001</v>
      </c>
      <c r="E33" s="6">
        <v>267.2</v>
      </c>
      <c r="F33" s="6">
        <v>272.68999999999994</v>
      </c>
    </row>
    <row r="34" spans="1:6" x14ac:dyDescent="0.25">
      <c r="B34" t="s">
        <v>6200</v>
      </c>
      <c r="C34" s="6">
        <v>430.39</v>
      </c>
      <c r="D34" s="6">
        <v>136.20500000000001</v>
      </c>
      <c r="E34" s="6">
        <v>209.6</v>
      </c>
      <c r="F34" s="6">
        <v>88.334999999999994</v>
      </c>
    </row>
    <row r="35" spans="1:6" x14ac:dyDescent="0.25">
      <c r="B35" t="s">
        <v>6201</v>
      </c>
      <c r="C35" s="6">
        <v>109.005</v>
      </c>
      <c r="D35" s="6">
        <v>393.57499999999999</v>
      </c>
      <c r="E35" s="6">
        <v>61.034999999999997</v>
      </c>
      <c r="F35" s="6">
        <v>199.48999999999998</v>
      </c>
    </row>
    <row r="36" spans="1:6" x14ac:dyDescent="0.25">
      <c r="B36" t="s">
        <v>6202</v>
      </c>
      <c r="C36" s="6">
        <v>287.52499999999998</v>
      </c>
      <c r="D36" s="6">
        <v>288.67</v>
      </c>
      <c r="E36" s="6">
        <v>125.58</v>
      </c>
      <c r="F36" s="6">
        <v>374.13499999999999</v>
      </c>
    </row>
    <row r="37" spans="1:6" x14ac:dyDescent="0.25">
      <c r="B37" t="s">
        <v>6203</v>
      </c>
      <c r="C37" s="6">
        <v>840.92999999999984</v>
      </c>
      <c r="D37" s="6">
        <v>409.875</v>
      </c>
      <c r="E37" s="6">
        <v>171.32999999999998</v>
      </c>
      <c r="F37" s="6">
        <v>221.43999999999997</v>
      </c>
    </row>
    <row r="38" spans="1:6" x14ac:dyDescent="0.25">
      <c r="B38" t="s">
        <v>6204</v>
      </c>
      <c r="C38" s="6">
        <v>299.07</v>
      </c>
      <c r="D38" s="6">
        <v>260.32499999999999</v>
      </c>
      <c r="E38" s="6">
        <v>584.64</v>
      </c>
      <c r="F38" s="6">
        <v>256.36500000000001</v>
      </c>
    </row>
    <row r="39" spans="1:6" x14ac:dyDescent="0.25">
      <c r="B39" t="s">
        <v>6216</v>
      </c>
      <c r="C39" s="6">
        <v>323.32499999999999</v>
      </c>
      <c r="D39" s="6">
        <v>565.57000000000005</v>
      </c>
      <c r="E39" s="6">
        <v>537.80999999999995</v>
      </c>
      <c r="F39" s="6">
        <v>189.47499999999999</v>
      </c>
    </row>
    <row r="40" spans="1:6" x14ac:dyDescent="0.25">
      <c r="B40" t="s">
        <v>6217</v>
      </c>
      <c r="C40" s="6">
        <v>399.48499999999996</v>
      </c>
      <c r="D40" s="6">
        <v>148.19999999999999</v>
      </c>
      <c r="E40" s="6">
        <v>388.21999999999997</v>
      </c>
      <c r="F40" s="6">
        <v>212.07499999999999</v>
      </c>
    </row>
    <row r="41" spans="1:6" x14ac:dyDescent="0.25">
      <c r="A41" t="s">
        <v>6220</v>
      </c>
      <c r="B41" t="s">
        <v>6212</v>
      </c>
      <c r="C41" s="6">
        <v>112.69499999999999</v>
      </c>
      <c r="D41" s="6">
        <v>166.32</v>
      </c>
      <c r="E41" s="6">
        <v>843.71499999999992</v>
      </c>
      <c r="F41" s="6">
        <v>146.685</v>
      </c>
    </row>
    <row r="42" spans="1:6" x14ac:dyDescent="0.25">
      <c r="B42" t="s">
        <v>6213</v>
      </c>
      <c r="C42" s="6">
        <v>114.87999999999998</v>
      </c>
      <c r="D42" s="6">
        <v>133.815</v>
      </c>
      <c r="E42" s="6">
        <v>91.175000000000011</v>
      </c>
      <c r="F42" s="6">
        <v>53.759999999999991</v>
      </c>
    </row>
    <row r="43" spans="1:6" x14ac:dyDescent="0.25">
      <c r="B43" t="s">
        <v>6214</v>
      </c>
      <c r="C43" s="6">
        <v>277.76</v>
      </c>
      <c r="D43" s="6">
        <v>175.41</v>
      </c>
      <c r="E43" s="6">
        <v>462.50999999999993</v>
      </c>
      <c r="F43" s="6">
        <v>399.52499999999998</v>
      </c>
    </row>
    <row r="44" spans="1:6" x14ac:dyDescent="0.25">
      <c r="B44" t="s">
        <v>6215</v>
      </c>
      <c r="C44" s="6">
        <v>197.89499999999998</v>
      </c>
      <c r="D44" s="6">
        <v>289.755</v>
      </c>
      <c r="E44" s="6">
        <v>88.545000000000002</v>
      </c>
      <c r="F44" s="6">
        <v>200.25499999999997</v>
      </c>
    </row>
    <row r="45" spans="1:6" x14ac:dyDescent="0.25">
      <c r="B45" t="s">
        <v>6199</v>
      </c>
      <c r="C45" s="6">
        <v>193.11499999999998</v>
      </c>
      <c r="D45" s="6">
        <v>212.49499999999998</v>
      </c>
      <c r="E45" s="6">
        <v>292.29000000000002</v>
      </c>
      <c r="F45" s="6">
        <v>304.46999999999997</v>
      </c>
    </row>
    <row r="46" spans="1:6" x14ac:dyDescent="0.25">
      <c r="B46" t="s">
        <v>6200</v>
      </c>
      <c r="C46" s="6">
        <v>179.79</v>
      </c>
      <c r="D46" s="6">
        <v>426.2</v>
      </c>
      <c r="E46" s="6">
        <v>170.08999999999997</v>
      </c>
      <c r="F46" s="6">
        <v>379.31</v>
      </c>
    </row>
    <row r="47" spans="1:6" x14ac:dyDescent="0.25">
      <c r="B47" t="s">
        <v>6201</v>
      </c>
      <c r="C47" s="6">
        <v>247.28999999999996</v>
      </c>
      <c r="D47" s="6">
        <v>246.685</v>
      </c>
      <c r="E47" s="6">
        <v>271.05499999999995</v>
      </c>
      <c r="F47" s="6">
        <v>141.69999999999999</v>
      </c>
    </row>
    <row r="48" spans="1:6" x14ac:dyDescent="0.25">
      <c r="B48" t="s">
        <v>6202</v>
      </c>
      <c r="C48" s="6">
        <v>116.39499999999998</v>
      </c>
      <c r="D48" s="6">
        <v>41.25</v>
      </c>
      <c r="E48" s="6">
        <v>15.54</v>
      </c>
      <c r="F48" s="6">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90997-D691-4F1C-B4D7-9B7188AE6AE0}">
  <dimension ref="A2:F6"/>
  <sheetViews>
    <sheetView zoomScale="77" zoomScaleNormal="70" workbookViewId="0">
      <selection activeCell="B5" sqref="B5"/>
    </sheetView>
  </sheetViews>
  <sheetFormatPr defaultRowHeight="15" x14ac:dyDescent="0.25"/>
  <cols>
    <col min="1" max="1" width="15.42578125" bestFit="1" customWidth="1"/>
    <col min="2" max="2" width="12.140625" bestFit="1" customWidth="1"/>
    <col min="3" max="3" width="10.5703125" bestFit="1" customWidth="1"/>
    <col min="4" max="4" width="10.28515625" bestFit="1" customWidth="1"/>
    <col min="5" max="6" width="11.140625" bestFit="1" customWidth="1"/>
  </cols>
  <sheetData>
    <row r="2" spans="1:6" x14ac:dyDescent="0.25">
      <c r="A2" s="7"/>
      <c r="B2" s="7"/>
      <c r="C2" s="7"/>
      <c r="D2" s="7"/>
      <c r="E2" s="7"/>
      <c r="F2" s="7"/>
    </row>
    <row r="3" spans="1:6" x14ac:dyDescent="0.25">
      <c r="A3" s="8" t="s">
        <v>7</v>
      </c>
      <c r="B3" s="10" t="s">
        <v>6211</v>
      </c>
    </row>
    <row r="4" spans="1:6" x14ac:dyDescent="0.25">
      <c r="A4" t="s">
        <v>28</v>
      </c>
      <c r="B4" s="11">
        <v>2798.5050000000001</v>
      </c>
    </row>
    <row r="5" spans="1:6" x14ac:dyDescent="0.25">
      <c r="A5" t="s">
        <v>318</v>
      </c>
      <c r="B5" s="11">
        <v>6696.8649999999989</v>
      </c>
    </row>
    <row r="6" spans="1:6" x14ac:dyDescent="0.25">
      <c r="A6" t="s">
        <v>19</v>
      </c>
      <c r="B6" s="11">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A5813-DC82-48E7-B724-C8925DEA96C3}">
  <dimension ref="A2:F8"/>
  <sheetViews>
    <sheetView zoomScale="77" zoomScaleNormal="70" workbookViewId="0">
      <selection activeCell="A4" sqref="A4"/>
    </sheetView>
  </sheetViews>
  <sheetFormatPr defaultRowHeight="15" x14ac:dyDescent="0.25"/>
  <cols>
    <col min="1" max="1" width="17.7109375" bestFit="1" customWidth="1"/>
    <col min="2" max="3" width="12.140625" bestFit="1" customWidth="1"/>
    <col min="4" max="4" width="10.28515625" bestFit="1" customWidth="1"/>
    <col min="5" max="6" width="11.140625" bestFit="1" customWidth="1"/>
  </cols>
  <sheetData>
    <row r="2" spans="1:6" x14ac:dyDescent="0.25">
      <c r="A2" s="7"/>
      <c r="B2" s="7"/>
      <c r="C2" s="7"/>
      <c r="D2" s="7"/>
      <c r="E2" s="7"/>
      <c r="F2" s="7"/>
    </row>
    <row r="3" spans="1:6" x14ac:dyDescent="0.25">
      <c r="A3" s="8" t="s">
        <v>4</v>
      </c>
      <c r="B3" s="10" t="s">
        <v>6211</v>
      </c>
    </row>
    <row r="4" spans="1:6" x14ac:dyDescent="0.25">
      <c r="A4" t="s">
        <v>3753</v>
      </c>
      <c r="B4" s="11">
        <v>278.01</v>
      </c>
    </row>
    <row r="5" spans="1:6" x14ac:dyDescent="0.25">
      <c r="A5" t="s">
        <v>1598</v>
      </c>
      <c r="B5" s="11">
        <v>281.67499999999995</v>
      </c>
    </row>
    <row r="6" spans="1:6" x14ac:dyDescent="0.25">
      <c r="A6" t="s">
        <v>2587</v>
      </c>
      <c r="B6" s="11">
        <v>289.11</v>
      </c>
    </row>
    <row r="7" spans="1:6" x14ac:dyDescent="0.25">
      <c r="A7" t="s">
        <v>5765</v>
      </c>
      <c r="B7" s="11">
        <v>307.04499999999996</v>
      </c>
    </row>
    <row r="8" spans="1:6" x14ac:dyDescent="0.25">
      <c r="A8" t="s">
        <v>5114</v>
      </c>
      <c r="B8" s="11">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A2727-EC58-406D-9848-349728CC37FA}">
  <dimension ref="A1:AA44"/>
  <sheetViews>
    <sheetView showGridLines="0" tabSelected="1" zoomScale="70" zoomScaleNormal="70" workbookViewId="0">
      <selection activeCell="AD15" sqref="AD15"/>
    </sheetView>
  </sheetViews>
  <sheetFormatPr defaultRowHeight="15" x14ac:dyDescent="0.25"/>
  <cols>
    <col min="1" max="1" width="1" customWidth="1"/>
    <col min="16" max="16" width="1.42578125" customWidth="1"/>
    <col min="19" max="19" width="1.42578125" customWidth="1"/>
    <col min="23" max="23" width="1.7109375" customWidth="1"/>
  </cols>
  <sheetData>
    <row r="1" spans="1:27" ht="5.0999999999999996" customHeight="1" x14ac:dyDescent="0.25">
      <c r="A1" s="12"/>
      <c r="B1" s="12"/>
      <c r="C1" s="12"/>
      <c r="D1" s="12"/>
      <c r="E1" s="12"/>
      <c r="F1" s="12"/>
      <c r="G1" s="12"/>
      <c r="H1" s="12"/>
      <c r="I1" s="12"/>
      <c r="J1" s="12"/>
      <c r="K1" s="12"/>
      <c r="L1" s="12"/>
      <c r="M1" s="12"/>
      <c r="N1" s="12"/>
      <c r="O1" s="12"/>
      <c r="P1" s="12"/>
      <c r="Q1" s="12"/>
      <c r="R1" s="12"/>
      <c r="S1" s="12"/>
      <c r="T1" s="12"/>
      <c r="U1" s="12"/>
      <c r="V1" s="12"/>
      <c r="W1" s="12"/>
      <c r="X1" s="12"/>
      <c r="Y1" s="12"/>
      <c r="Z1" s="12"/>
      <c r="AA1" s="12"/>
    </row>
    <row r="2" spans="1:27" x14ac:dyDescent="0.25">
      <c r="A2" s="12"/>
      <c r="B2" s="12"/>
      <c r="C2" s="12"/>
      <c r="D2" s="12"/>
      <c r="E2" s="12"/>
      <c r="F2" s="12"/>
      <c r="G2" s="12"/>
      <c r="H2" s="12"/>
      <c r="I2" s="12"/>
      <c r="J2" s="12"/>
      <c r="K2" s="12"/>
      <c r="L2" s="12"/>
      <c r="M2" s="12"/>
      <c r="N2" s="12"/>
      <c r="O2" s="12"/>
      <c r="P2" s="12"/>
      <c r="Q2" s="12"/>
      <c r="R2" s="12"/>
      <c r="S2" s="12"/>
      <c r="T2" s="12"/>
      <c r="U2" s="12"/>
      <c r="V2" s="12"/>
      <c r="W2" s="12"/>
      <c r="X2" s="12"/>
      <c r="Y2" s="12"/>
      <c r="Z2" s="12"/>
      <c r="AA2" s="12"/>
    </row>
    <row r="3" spans="1:27" x14ac:dyDescent="0.25">
      <c r="A3" s="12"/>
      <c r="B3" s="12"/>
      <c r="C3" s="12"/>
      <c r="D3" s="12"/>
      <c r="E3" s="12"/>
      <c r="F3" s="12"/>
      <c r="G3" s="12"/>
      <c r="H3" s="12"/>
      <c r="I3" s="12"/>
      <c r="J3" s="12"/>
      <c r="K3" s="12"/>
      <c r="L3" s="12"/>
      <c r="M3" s="12"/>
      <c r="N3" s="12"/>
      <c r="O3" s="12"/>
      <c r="P3" s="12"/>
      <c r="Q3" s="12"/>
      <c r="R3" s="12"/>
      <c r="S3" s="12"/>
      <c r="T3" s="12"/>
      <c r="U3" s="12"/>
      <c r="V3" s="12"/>
      <c r="W3" s="12"/>
      <c r="X3" s="12"/>
      <c r="Y3" s="12"/>
      <c r="Z3" s="12"/>
      <c r="AA3" s="12"/>
    </row>
    <row r="4" spans="1:27" x14ac:dyDescent="0.25">
      <c r="A4" s="12"/>
      <c r="B4" s="12"/>
      <c r="C4" s="12"/>
      <c r="D4" s="12"/>
      <c r="E4" s="12"/>
      <c r="F4" s="12"/>
      <c r="G4" s="12"/>
      <c r="H4" s="12"/>
      <c r="I4" s="12"/>
      <c r="J4" s="12"/>
      <c r="K4" s="12"/>
      <c r="L4" s="12"/>
      <c r="M4" s="12"/>
      <c r="N4" s="12"/>
      <c r="O4" s="12"/>
      <c r="P4" s="12"/>
      <c r="Q4" s="12"/>
      <c r="R4" s="12"/>
      <c r="S4" s="12"/>
      <c r="T4" s="12"/>
      <c r="U4" s="12"/>
      <c r="V4" s="12"/>
      <c r="W4" s="12"/>
      <c r="X4" s="12"/>
      <c r="Y4" s="12"/>
      <c r="Z4" s="12"/>
      <c r="AA4" s="12"/>
    </row>
    <row r="5" spans="1:27" x14ac:dyDescent="0.25">
      <c r="A5" s="12"/>
      <c r="B5" s="12"/>
      <c r="C5" s="12"/>
      <c r="D5" s="12"/>
      <c r="E5" s="12"/>
      <c r="F5" s="12"/>
      <c r="G5" s="12"/>
      <c r="H5" s="12"/>
      <c r="I5" s="12"/>
      <c r="J5" s="12"/>
      <c r="K5" s="12"/>
      <c r="L5" s="12"/>
      <c r="M5" s="12"/>
      <c r="N5" s="12"/>
      <c r="O5" s="12"/>
      <c r="P5" s="12"/>
      <c r="Q5" s="12"/>
      <c r="R5" s="12"/>
      <c r="S5" s="12"/>
      <c r="T5" s="12"/>
      <c r="U5" s="12"/>
      <c r="V5" s="12"/>
      <c r="W5" s="12"/>
      <c r="X5" s="12"/>
      <c r="Y5" s="12"/>
      <c r="Z5" s="12"/>
      <c r="AA5" s="12"/>
    </row>
    <row r="6" spans="1:27" ht="6.75" customHeight="1" x14ac:dyDescent="0.25">
      <c r="A6" s="12"/>
      <c r="B6" s="12"/>
      <c r="C6" s="12"/>
      <c r="D6" s="12"/>
      <c r="E6" s="12"/>
      <c r="F6" s="12"/>
      <c r="G6" s="12"/>
      <c r="H6" s="12"/>
      <c r="I6" s="12"/>
      <c r="J6" s="12"/>
      <c r="K6" s="12"/>
      <c r="L6" s="12"/>
      <c r="M6" s="12"/>
      <c r="N6" s="12"/>
      <c r="O6" s="12"/>
      <c r="P6" s="12"/>
      <c r="Q6" s="12"/>
      <c r="R6" s="12"/>
      <c r="S6" s="12"/>
      <c r="T6" s="12"/>
      <c r="U6" s="12"/>
      <c r="V6" s="12"/>
      <c r="W6" s="12"/>
      <c r="X6" s="12"/>
      <c r="Y6" s="12"/>
      <c r="Z6" s="12"/>
      <c r="AA6" s="12"/>
    </row>
    <row r="7" spans="1:27" x14ac:dyDescent="0.25">
      <c r="A7" s="12"/>
      <c r="B7" s="12"/>
      <c r="C7" s="12"/>
      <c r="D7" s="12"/>
      <c r="E7" s="12"/>
      <c r="F7" s="12"/>
      <c r="G7" s="12"/>
      <c r="H7" s="12"/>
      <c r="I7" s="12"/>
      <c r="J7" s="12"/>
      <c r="K7" s="12"/>
      <c r="L7" s="12"/>
      <c r="M7" s="12"/>
      <c r="N7" s="12"/>
      <c r="O7" s="12"/>
      <c r="P7" s="12"/>
      <c r="Q7" s="12"/>
      <c r="R7" s="12"/>
      <c r="S7" s="12"/>
      <c r="T7" s="12"/>
      <c r="U7" s="12"/>
      <c r="V7" s="12"/>
      <c r="W7" s="12"/>
      <c r="X7" s="12"/>
      <c r="Y7" s="12"/>
      <c r="Z7" s="12"/>
      <c r="AA7" s="12"/>
    </row>
    <row r="8" spans="1:27" x14ac:dyDescent="0.25">
      <c r="A8" s="12"/>
      <c r="B8" s="12"/>
      <c r="C8" s="12"/>
      <c r="D8" s="12"/>
      <c r="E8" s="12"/>
      <c r="F8" s="12"/>
      <c r="G8" s="12"/>
      <c r="H8" s="12"/>
      <c r="I8" s="12"/>
      <c r="J8" s="12"/>
      <c r="K8" s="12"/>
      <c r="L8" s="12"/>
      <c r="M8" s="12"/>
      <c r="N8" s="12"/>
      <c r="O8" s="12"/>
      <c r="P8" s="12"/>
      <c r="Q8" s="12"/>
      <c r="R8" s="12"/>
      <c r="S8" s="12"/>
      <c r="T8" s="12"/>
      <c r="U8" s="12"/>
      <c r="V8" s="12"/>
      <c r="W8" s="12"/>
      <c r="X8" s="12"/>
      <c r="Y8" s="12"/>
      <c r="Z8" s="12"/>
      <c r="AA8" s="12"/>
    </row>
    <row r="9" spans="1:27" x14ac:dyDescent="0.25">
      <c r="A9" s="12"/>
      <c r="B9" s="12"/>
      <c r="C9" s="12"/>
      <c r="D9" s="12"/>
      <c r="E9" s="12"/>
      <c r="F9" s="12"/>
      <c r="G9" s="12"/>
      <c r="H9" s="12"/>
      <c r="I9" s="12"/>
      <c r="J9" s="12"/>
      <c r="K9" s="12"/>
      <c r="L9" s="12"/>
      <c r="M9" s="12"/>
      <c r="N9" s="12"/>
      <c r="O9" s="12"/>
      <c r="P9" s="12"/>
      <c r="Q9" s="12"/>
      <c r="R9" s="12"/>
      <c r="S9" s="12"/>
      <c r="T9" s="12"/>
      <c r="U9" s="12"/>
      <c r="V9" s="12"/>
      <c r="W9" s="12"/>
      <c r="X9" s="12"/>
      <c r="Y9" s="12"/>
      <c r="Z9" s="12"/>
      <c r="AA9" s="12"/>
    </row>
    <row r="10" spans="1:27" x14ac:dyDescent="0.2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27" ht="7.5" customHeight="1"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row>
    <row r="12" spans="1:27" x14ac:dyDescent="0.2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row>
    <row r="13" spans="1:27" x14ac:dyDescent="0.2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row>
    <row r="14" spans="1:27" x14ac:dyDescent="0.2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row>
    <row r="15" spans="1:27" x14ac:dyDescent="0.2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row>
    <row r="16" spans="1:27" x14ac:dyDescent="0.2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row>
    <row r="17" spans="1:27" ht="6" customHeight="1" x14ac:dyDescent="0.2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row>
    <row r="18" spans="1:27" x14ac:dyDescent="0.2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row>
    <row r="19" spans="1:27" x14ac:dyDescent="0.2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row>
    <row r="20" spans="1:27" x14ac:dyDescent="0.2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row>
    <row r="21" spans="1:27" x14ac:dyDescent="0.2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row>
    <row r="22" spans="1:27" x14ac:dyDescent="0.2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row>
    <row r="23" spans="1:27" x14ac:dyDescent="0.2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row>
    <row r="24" spans="1:27" x14ac:dyDescent="0.2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row>
    <row r="25" spans="1:27" x14ac:dyDescent="0.2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row>
    <row r="26" spans="1:27" x14ac:dyDescent="0.2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row>
    <row r="27" spans="1:27" x14ac:dyDescent="0.2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row>
    <row r="28" spans="1:27" ht="7.5" customHeight="1" x14ac:dyDescent="0.2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row>
    <row r="29" spans="1:27" x14ac:dyDescent="0.2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row>
    <row r="30" spans="1:27" x14ac:dyDescent="0.2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row>
    <row r="31" spans="1:27" x14ac:dyDescent="0.2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row>
    <row r="32" spans="1:27" x14ac:dyDescent="0.2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row>
    <row r="33" spans="1:27" x14ac:dyDescent="0.2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row>
    <row r="34" spans="1:27" x14ac:dyDescent="0.2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row>
    <row r="35" spans="1:27" x14ac:dyDescent="0.2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row>
    <row r="36" spans="1:27" x14ac:dyDescent="0.2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row>
    <row r="37" spans="1:27" x14ac:dyDescent="0.2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row>
    <row r="38" spans="1:27" x14ac:dyDescent="0.2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row>
    <row r="39" spans="1:27" x14ac:dyDescent="0.2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row>
    <row r="40" spans="1:27" x14ac:dyDescent="0.2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row>
    <row r="41" spans="1:27" x14ac:dyDescent="0.2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row>
    <row r="42" spans="1:27" x14ac:dyDescent="0.2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row>
    <row r="43" spans="1:27" x14ac:dyDescent="0.2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row>
    <row r="44" spans="1:27" x14ac:dyDescent="0.2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K1" zoomScale="120" zoomScaleNormal="120" workbookViewId="0">
      <selection activeCell="R8" sqref="R8"/>
    </sheetView>
  </sheetViews>
  <sheetFormatPr defaultRowHeight="15" x14ac:dyDescent="0.25"/>
  <cols>
    <col min="1" max="1" width="16.28515625" bestFit="1" customWidth="1"/>
    <col min="2" max="2" width="12.7109375" bestFit="1" customWidth="1"/>
    <col min="3" max="3" width="17.28515625" bestFit="1" customWidth="1"/>
    <col min="4" max="4" width="11.85546875" customWidth="1"/>
    <col min="5" max="5" width="10.42578125" customWidth="1"/>
    <col min="6" max="6" width="23.140625" bestFit="1" customWidth="1"/>
    <col min="7" max="7" width="37.7109375" bestFit="1" customWidth="1"/>
    <col min="8" max="8" width="14.7109375" bestFit="1" customWidth="1"/>
    <col min="9" max="9" width="13.140625" customWidth="1"/>
    <col min="10" max="10" width="12.28515625" customWidth="1"/>
    <col min="11" max="11" width="6.28515625" customWidth="1"/>
    <col min="12" max="12" width="11.28515625" customWidth="1"/>
    <col min="13" max="13" width="9.28515625" bestFit="1" customWidth="1"/>
    <col min="14" max="14" width="18.7109375" customWidth="1"/>
    <col min="15" max="15" width="17.85546875" customWidth="1"/>
    <col min="16" max="16" width="14.5703125"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 = "Exc","Excelsa",IF(I2="Ara","Arabica",IF(I2="Lib","Liberca",""))))</f>
        <v>Robusta</v>
      </c>
      <c r="O2" t="str">
        <f>IF(J2="M","Medium",IF(J2="L","Light",IF(J2="D","Dark","")))</f>
        <v>Medium</v>
      </c>
      <c r="P2" t="str">
        <f>_xlfn.XLOOKUP(Orders[[#This Row],[Customer ID]],customers!$A$1:$A$1001,customers!$I$1:$I$1001,,0)</f>
        <v>Yes</v>
      </c>
    </row>
    <row r="3" spans="1:16" x14ac:dyDescent="0.2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 = "Exc","Excelsa",IF(I3="Ara","Arabica",IF(I3="Lib","Liberca",""))))</f>
        <v>Excelsa</v>
      </c>
      <c r="O3" t="str">
        <f t="shared" ref="O3:O66" si="2">IF(J3="M","Medium",IF(J3="L","Light",IF(J3="D","Dark","")))</f>
        <v>Medium</v>
      </c>
      <c r="P3" t="str">
        <f>_xlfn.XLOOKUP(Orders[[#This Row],[Customer ID]],customers!$A$1:$A$1001,customers!$I$1:$I$1001,,0)</f>
        <v>Yes</v>
      </c>
    </row>
    <row r="4" spans="1:16" x14ac:dyDescent="0.2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2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2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2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Liberca</v>
      </c>
      <c r="O7" t="str">
        <f t="shared" si="2"/>
        <v>Dark</v>
      </c>
      <c r="P7" t="str">
        <f>_xlfn.XLOOKUP(Orders[[#This Row],[Customer ID]],customers!$A$1:$A$1001,customers!$I$1:$I$1001,,0)</f>
        <v>No</v>
      </c>
    </row>
    <row r="8" spans="1:16" x14ac:dyDescent="0.2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2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Liberca</v>
      </c>
      <c r="O9" t="str">
        <f t="shared" si="2"/>
        <v>Light</v>
      </c>
      <c r="P9" t="str">
        <f>_xlfn.XLOOKUP(Orders[[#This Row],[Customer ID]],customers!$A$1:$A$1001,customers!$I$1:$I$1001,,0)</f>
        <v>Yes</v>
      </c>
    </row>
    <row r="10" spans="1:16" x14ac:dyDescent="0.2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2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2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2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2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2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2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Liberca</v>
      </c>
      <c r="O16" t="str">
        <f t="shared" si="2"/>
        <v>Dark</v>
      </c>
      <c r="P16" t="str">
        <f>_xlfn.XLOOKUP(Orders[[#This Row],[Customer ID]],customers!$A$1:$A$1001,customers!$I$1:$I$1001,,0)</f>
        <v>Yes</v>
      </c>
    </row>
    <row r="17" spans="1:16" x14ac:dyDescent="0.2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2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2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2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2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2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2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2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2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2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2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2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2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2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2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2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Liberca</v>
      </c>
      <c r="O32" t="str">
        <f t="shared" si="2"/>
        <v>Medium</v>
      </c>
      <c r="P32" t="str">
        <f>_xlfn.XLOOKUP(Orders[[#This Row],[Customer ID]],customers!$A$1:$A$1001,customers!$I$1:$I$1001,,0)</f>
        <v>No</v>
      </c>
    </row>
    <row r="33" spans="1:16" x14ac:dyDescent="0.2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2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Liberca</v>
      </c>
      <c r="O34" t="str">
        <f t="shared" si="2"/>
        <v>Medium</v>
      </c>
      <c r="P34" t="str">
        <f>_xlfn.XLOOKUP(Orders[[#This Row],[Customer ID]],customers!$A$1:$A$1001,customers!$I$1:$I$1001,,0)</f>
        <v>No</v>
      </c>
    </row>
    <row r="35" spans="1:16" x14ac:dyDescent="0.2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Liberca</v>
      </c>
      <c r="O35" t="str">
        <f t="shared" si="2"/>
        <v>Light</v>
      </c>
      <c r="P35" t="str">
        <f>_xlfn.XLOOKUP(Orders[[#This Row],[Customer ID]],customers!$A$1:$A$1001,customers!$I$1:$I$1001,,0)</f>
        <v>No</v>
      </c>
    </row>
    <row r="36" spans="1:16" x14ac:dyDescent="0.2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Liberca</v>
      </c>
      <c r="O36" t="str">
        <f t="shared" si="2"/>
        <v>Light</v>
      </c>
      <c r="P36" t="str">
        <f>_xlfn.XLOOKUP(Orders[[#This Row],[Customer ID]],customers!$A$1:$A$1001,customers!$I$1:$I$1001,,0)</f>
        <v>Yes</v>
      </c>
    </row>
    <row r="37" spans="1:16" x14ac:dyDescent="0.2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2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Liberca</v>
      </c>
      <c r="O38" t="str">
        <f t="shared" si="2"/>
        <v>Medium</v>
      </c>
      <c r="P38" t="str">
        <f>_xlfn.XLOOKUP(Orders[[#This Row],[Customer ID]],customers!$A$1:$A$1001,customers!$I$1:$I$1001,,0)</f>
        <v>No</v>
      </c>
    </row>
    <row r="39" spans="1:16" x14ac:dyDescent="0.2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Liberca</v>
      </c>
      <c r="O39" t="str">
        <f t="shared" si="2"/>
        <v>Light</v>
      </c>
      <c r="P39" t="str">
        <f>_xlfn.XLOOKUP(Orders[[#This Row],[Customer ID]],customers!$A$1:$A$1001,customers!$I$1:$I$1001,,0)</f>
        <v>No</v>
      </c>
    </row>
    <row r="40" spans="1:16" x14ac:dyDescent="0.2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2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2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Liberca</v>
      </c>
      <c r="O42" t="str">
        <f t="shared" si="2"/>
        <v>Medium</v>
      </c>
      <c r="P42" t="str">
        <f>_xlfn.XLOOKUP(Orders[[#This Row],[Customer ID]],customers!$A$1:$A$1001,customers!$I$1:$I$1001,,0)</f>
        <v>No</v>
      </c>
    </row>
    <row r="43" spans="1:16" x14ac:dyDescent="0.2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2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2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Liberca</v>
      </c>
      <c r="O45" t="str">
        <f t="shared" si="2"/>
        <v>Light</v>
      </c>
      <c r="P45" t="str">
        <f>_xlfn.XLOOKUP(Orders[[#This Row],[Customer ID]],customers!$A$1:$A$1001,customers!$I$1:$I$1001,,0)</f>
        <v>No</v>
      </c>
    </row>
    <row r="46" spans="1:16" x14ac:dyDescent="0.2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2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Liberca</v>
      </c>
      <c r="O47" t="str">
        <f t="shared" si="2"/>
        <v>Dark</v>
      </c>
      <c r="P47" t="str">
        <f>_xlfn.XLOOKUP(Orders[[#This Row],[Customer ID]],customers!$A$1:$A$1001,customers!$I$1:$I$1001,,0)</f>
        <v>No</v>
      </c>
    </row>
    <row r="48" spans="1:16" x14ac:dyDescent="0.2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2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2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2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2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Liberca</v>
      </c>
      <c r="O52" t="str">
        <f t="shared" si="2"/>
        <v>Dark</v>
      </c>
      <c r="P52" t="str">
        <f>_xlfn.XLOOKUP(Orders[[#This Row],[Customer ID]],customers!$A$1:$A$1001,customers!$I$1:$I$1001,,0)</f>
        <v>No</v>
      </c>
    </row>
    <row r="53" spans="1:16" x14ac:dyDescent="0.2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Liberca</v>
      </c>
      <c r="O53" t="str">
        <f t="shared" si="2"/>
        <v>Light</v>
      </c>
      <c r="P53" t="str">
        <f>_xlfn.XLOOKUP(Orders[[#This Row],[Customer ID]],customers!$A$1:$A$1001,customers!$I$1:$I$1001,,0)</f>
        <v>Yes</v>
      </c>
    </row>
    <row r="54" spans="1:16" x14ac:dyDescent="0.2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2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Liberca</v>
      </c>
      <c r="O55" t="str">
        <f t="shared" si="2"/>
        <v>Light</v>
      </c>
      <c r="P55" t="str">
        <f>_xlfn.XLOOKUP(Orders[[#This Row],[Customer ID]],customers!$A$1:$A$1001,customers!$I$1:$I$1001,,0)</f>
        <v>No</v>
      </c>
    </row>
    <row r="56" spans="1:16" x14ac:dyDescent="0.2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Liberca</v>
      </c>
      <c r="O56" t="str">
        <f t="shared" si="2"/>
        <v>Medium</v>
      </c>
      <c r="P56" t="str">
        <f>_xlfn.XLOOKUP(Orders[[#This Row],[Customer ID]],customers!$A$1:$A$1001,customers!$I$1:$I$1001,,0)</f>
        <v>No</v>
      </c>
    </row>
    <row r="57" spans="1:16" x14ac:dyDescent="0.2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Liberca</v>
      </c>
      <c r="O57" t="str">
        <f t="shared" si="2"/>
        <v>Light</v>
      </c>
      <c r="P57" t="str">
        <f>_xlfn.XLOOKUP(Orders[[#This Row],[Customer ID]],customers!$A$1:$A$1001,customers!$I$1:$I$1001,,0)</f>
        <v>No</v>
      </c>
    </row>
    <row r="58" spans="1:16" x14ac:dyDescent="0.2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2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2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Liberca</v>
      </c>
      <c r="O60" t="str">
        <f t="shared" si="2"/>
        <v>Dark</v>
      </c>
      <c r="P60" t="str">
        <f>_xlfn.XLOOKUP(Orders[[#This Row],[Customer ID]],customers!$A$1:$A$1001,customers!$I$1:$I$1001,,0)</f>
        <v>Yes</v>
      </c>
    </row>
    <row r="61" spans="1:16" x14ac:dyDescent="0.2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Liberca</v>
      </c>
      <c r="O61" t="str">
        <f t="shared" si="2"/>
        <v>Medium</v>
      </c>
      <c r="P61" t="str">
        <f>_xlfn.XLOOKUP(Orders[[#This Row],[Customer ID]],customers!$A$1:$A$1001,customers!$I$1:$I$1001,,0)</f>
        <v>Yes</v>
      </c>
    </row>
    <row r="62" spans="1:16" x14ac:dyDescent="0.2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2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2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Liberca</v>
      </c>
      <c r="O64" t="str">
        <f t="shared" si="2"/>
        <v>Light</v>
      </c>
      <c r="P64" t="str">
        <f>_xlfn.XLOOKUP(Orders[[#This Row],[Customer ID]],customers!$A$1:$A$1001,customers!$I$1:$I$1001,,0)</f>
        <v>Yes</v>
      </c>
    </row>
    <row r="65" spans="1:16" x14ac:dyDescent="0.2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2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2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 = "Exc","Excelsa",IF(I67="Ara","Arabica",IF(I67="Lib","Liberca",""))))</f>
        <v>Robusta</v>
      </c>
      <c r="O67" t="str">
        <f t="shared" ref="O67:O130" si="5">IF(J67="M","Medium",IF(J67="L","Light",IF(J67="D","Dark","")))</f>
        <v>Dark</v>
      </c>
      <c r="P67" t="str">
        <f>_xlfn.XLOOKUP(Orders[[#This Row],[Customer ID]],customers!$A$1:$A$1001,customers!$I$1:$I$1001,,0)</f>
        <v>Yes</v>
      </c>
    </row>
    <row r="68" spans="1:16" x14ac:dyDescent="0.2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2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Liberca</v>
      </c>
      <c r="O69" t="str">
        <f t="shared" si="5"/>
        <v>Light</v>
      </c>
      <c r="P69" t="str">
        <f>_xlfn.XLOOKUP(Orders[[#This Row],[Customer ID]],customers!$A$1:$A$1001,customers!$I$1:$I$1001,,0)</f>
        <v>No</v>
      </c>
    </row>
    <row r="70" spans="1:16" x14ac:dyDescent="0.2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2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2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2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Liberca</v>
      </c>
      <c r="O73" t="str">
        <f t="shared" si="5"/>
        <v>Light</v>
      </c>
      <c r="P73" t="str">
        <f>_xlfn.XLOOKUP(Orders[[#This Row],[Customer ID]],customers!$A$1:$A$1001,customers!$I$1:$I$1001,,0)</f>
        <v>No</v>
      </c>
    </row>
    <row r="74" spans="1:16" x14ac:dyDescent="0.2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2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Liberca</v>
      </c>
      <c r="O75" t="str">
        <f t="shared" si="5"/>
        <v>Medium</v>
      </c>
      <c r="P75" t="str">
        <f>_xlfn.XLOOKUP(Orders[[#This Row],[Customer ID]],customers!$A$1:$A$1001,customers!$I$1:$I$1001,,0)</f>
        <v>Yes</v>
      </c>
    </row>
    <row r="76" spans="1:16" x14ac:dyDescent="0.2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2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2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2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2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2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2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2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Liberca</v>
      </c>
      <c r="O83" t="str">
        <f t="shared" si="5"/>
        <v>Light</v>
      </c>
      <c r="P83" t="str">
        <f>_xlfn.XLOOKUP(Orders[[#This Row],[Customer ID]],customers!$A$1:$A$1001,customers!$I$1:$I$1001,,0)</f>
        <v>Yes</v>
      </c>
    </row>
    <row r="84" spans="1:16" x14ac:dyDescent="0.2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Liberca</v>
      </c>
      <c r="O84" t="str">
        <f t="shared" si="5"/>
        <v>Medium</v>
      </c>
      <c r="P84" t="str">
        <f>_xlfn.XLOOKUP(Orders[[#This Row],[Customer ID]],customers!$A$1:$A$1001,customers!$I$1:$I$1001,,0)</f>
        <v>Yes</v>
      </c>
    </row>
    <row r="85" spans="1:16" x14ac:dyDescent="0.2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2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Liberca</v>
      </c>
      <c r="O86" t="str">
        <f t="shared" si="5"/>
        <v>Light</v>
      </c>
      <c r="P86" t="str">
        <f>_xlfn.XLOOKUP(Orders[[#This Row],[Customer ID]],customers!$A$1:$A$1001,customers!$I$1:$I$1001,,0)</f>
        <v>No</v>
      </c>
    </row>
    <row r="87" spans="1:16" x14ac:dyDescent="0.2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2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2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2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2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2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2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2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2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2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2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2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2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2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2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Liberca</v>
      </c>
      <c r="O101" t="str">
        <f t="shared" si="5"/>
        <v>Medium</v>
      </c>
      <c r="P101" t="str">
        <f>_xlfn.XLOOKUP(Orders[[#This Row],[Customer ID]],customers!$A$1:$A$1001,customers!$I$1:$I$1001,,0)</f>
        <v>Yes</v>
      </c>
    </row>
    <row r="102" spans="1:16" x14ac:dyDescent="0.2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2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Liberca</v>
      </c>
      <c r="O103" t="str">
        <f t="shared" si="5"/>
        <v>Dark</v>
      </c>
      <c r="P103" t="str">
        <f>_xlfn.XLOOKUP(Orders[[#This Row],[Customer ID]],customers!$A$1:$A$1001,customers!$I$1:$I$1001,,0)</f>
        <v>Yes</v>
      </c>
    </row>
    <row r="104" spans="1:16" x14ac:dyDescent="0.2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Liberca</v>
      </c>
      <c r="O104" t="str">
        <f t="shared" si="5"/>
        <v>Dark</v>
      </c>
      <c r="P104" t="str">
        <f>_xlfn.XLOOKUP(Orders[[#This Row],[Customer ID]],customers!$A$1:$A$1001,customers!$I$1:$I$1001,,0)</f>
        <v>Yes</v>
      </c>
    </row>
    <row r="105" spans="1:16" x14ac:dyDescent="0.2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2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Liberca</v>
      </c>
      <c r="O106" t="str">
        <f t="shared" si="5"/>
        <v>Medium</v>
      </c>
      <c r="P106" t="str">
        <f>_xlfn.XLOOKUP(Orders[[#This Row],[Customer ID]],customers!$A$1:$A$1001,customers!$I$1:$I$1001,,0)</f>
        <v>No</v>
      </c>
    </row>
    <row r="107" spans="1:16" x14ac:dyDescent="0.2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2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2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2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2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Liberca</v>
      </c>
      <c r="O111" t="str">
        <f t="shared" si="5"/>
        <v>Dark</v>
      </c>
      <c r="P111" t="str">
        <f>_xlfn.XLOOKUP(Orders[[#This Row],[Customer ID]],customers!$A$1:$A$1001,customers!$I$1:$I$1001,,0)</f>
        <v>Yes</v>
      </c>
    </row>
    <row r="112" spans="1:16" x14ac:dyDescent="0.2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2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2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2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Liberca</v>
      </c>
      <c r="O115" t="str">
        <f t="shared" si="5"/>
        <v>Medium</v>
      </c>
      <c r="P115" t="str">
        <f>_xlfn.XLOOKUP(Orders[[#This Row],[Customer ID]],customers!$A$1:$A$1001,customers!$I$1:$I$1001,,0)</f>
        <v>No</v>
      </c>
    </row>
    <row r="116" spans="1:16" x14ac:dyDescent="0.2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2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Liberca</v>
      </c>
      <c r="O117" t="str">
        <f t="shared" si="5"/>
        <v>Light</v>
      </c>
      <c r="P117" t="str">
        <f>_xlfn.XLOOKUP(Orders[[#This Row],[Customer ID]],customers!$A$1:$A$1001,customers!$I$1:$I$1001,,0)</f>
        <v>No</v>
      </c>
    </row>
    <row r="118" spans="1:16" x14ac:dyDescent="0.2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Liberca</v>
      </c>
      <c r="O118" t="str">
        <f t="shared" si="5"/>
        <v>Light</v>
      </c>
      <c r="P118" t="str">
        <f>_xlfn.XLOOKUP(Orders[[#This Row],[Customer ID]],customers!$A$1:$A$1001,customers!$I$1:$I$1001,,0)</f>
        <v>Yes</v>
      </c>
    </row>
    <row r="119" spans="1:16" x14ac:dyDescent="0.2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Liberca</v>
      </c>
      <c r="O119" t="str">
        <f t="shared" si="5"/>
        <v>Light</v>
      </c>
      <c r="P119" t="str">
        <f>_xlfn.XLOOKUP(Orders[[#This Row],[Customer ID]],customers!$A$1:$A$1001,customers!$I$1:$I$1001,,0)</f>
        <v>No</v>
      </c>
    </row>
    <row r="120" spans="1:16" x14ac:dyDescent="0.2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2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2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2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2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2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Liberca</v>
      </c>
      <c r="O125" t="str">
        <f t="shared" si="5"/>
        <v>Light</v>
      </c>
      <c r="P125" t="str">
        <f>_xlfn.XLOOKUP(Orders[[#This Row],[Customer ID]],customers!$A$1:$A$1001,customers!$I$1:$I$1001,,0)</f>
        <v>No</v>
      </c>
    </row>
    <row r="126" spans="1:16" x14ac:dyDescent="0.2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Liberca</v>
      </c>
      <c r="O126" t="str">
        <f t="shared" si="5"/>
        <v>Medium</v>
      </c>
      <c r="P126" t="str">
        <f>_xlfn.XLOOKUP(Orders[[#This Row],[Customer ID]],customers!$A$1:$A$1001,customers!$I$1:$I$1001,,0)</f>
        <v>Yes</v>
      </c>
    </row>
    <row r="127" spans="1:16" x14ac:dyDescent="0.2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Liberca</v>
      </c>
      <c r="O127" t="str">
        <f t="shared" si="5"/>
        <v>Medium</v>
      </c>
      <c r="P127" t="str">
        <f>_xlfn.XLOOKUP(Orders[[#This Row],[Customer ID]],customers!$A$1:$A$1001,customers!$I$1:$I$1001,,0)</f>
        <v>Yes</v>
      </c>
    </row>
    <row r="128" spans="1:16" x14ac:dyDescent="0.2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2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Liberca</v>
      </c>
      <c r="O129" t="str">
        <f t="shared" si="5"/>
        <v>Dark</v>
      </c>
      <c r="P129" t="str">
        <f>_xlfn.XLOOKUP(Orders[[#This Row],[Customer ID]],customers!$A$1:$A$1001,customers!$I$1:$I$1001,,0)</f>
        <v>No</v>
      </c>
    </row>
    <row r="130" spans="1:16" x14ac:dyDescent="0.2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2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 = "Exc","Excelsa",IF(I131="Ara","Arabica",IF(I131="Lib","Liberca",""))))</f>
        <v>Excelsa</v>
      </c>
      <c r="O131" t="str">
        <f t="shared" ref="O131:O194" si="8">IF(J131="M","Medium",IF(J131="L","Light",IF(J131="D","Dark","")))</f>
        <v>Dark</v>
      </c>
      <c r="P131" t="str">
        <f>_xlfn.XLOOKUP(Orders[[#This Row],[Customer ID]],customers!$A$1:$A$1001,customers!$I$1:$I$1001,,0)</f>
        <v>Yes</v>
      </c>
    </row>
    <row r="132" spans="1:16" x14ac:dyDescent="0.2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2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2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2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Liberca</v>
      </c>
      <c r="O135" t="str">
        <f t="shared" si="8"/>
        <v>Dark</v>
      </c>
      <c r="P135" t="str">
        <f>_xlfn.XLOOKUP(Orders[[#This Row],[Customer ID]],customers!$A$1:$A$1001,customers!$I$1:$I$1001,,0)</f>
        <v>No</v>
      </c>
    </row>
    <row r="136" spans="1:16" x14ac:dyDescent="0.2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2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2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2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2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2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Liberca</v>
      </c>
      <c r="O141" t="str">
        <f t="shared" si="8"/>
        <v>Dark</v>
      </c>
      <c r="P141" t="str">
        <f>_xlfn.XLOOKUP(Orders[[#This Row],[Customer ID]],customers!$A$1:$A$1001,customers!$I$1:$I$1001,,0)</f>
        <v>Yes</v>
      </c>
    </row>
    <row r="142" spans="1:16" x14ac:dyDescent="0.2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Liberca</v>
      </c>
      <c r="O142" t="str">
        <f t="shared" si="8"/>
        <v>Dark</v>
      </c>
      <c r="P142" t="str">
        <f>_xlfn.XLOOKUP(Orders[[#This Row],[Customer ID]],customers!$A$1:$A$1001,customers!$I$1:$I$1001,,0)</f>
        <v>Yes</v>
      </c>
    </row>
    <row r="143" spans="1:16" x14ac:dyDescent="0.2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2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2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Liberca</v>
      </c>
      <c r="O145" t="str">
        <f t="shared" si="8"/>
        <v>Medium</v>
      </c>
      <c r="P145" t="str">
        <f>_xlfn.XLOOKUP(Orders[[#This Row],[Customer ID]],customers!$A$1:$A$1001,customers!$I$1:$I$1001,,0)</f>
        <v>No</v>
      </c>
    </row>
    <row r="146" spans="1:16" x14ac:dyDescent="0.2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2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Liberca</v>
      </c>
      <c r="O147" t="str">
        <f t="shared" si="8"/>
        <v>Medium</v>
      </c>
      <c r="P147" t="str">
        <f>_xlfn.XLOOKUP(Orders[[#This Row],[Customer ID]],customers!$A$1:$A$1001,customers!$I$1:$I$1001,,0)</f>
        <v>No</v>
      </c>
    </row>
    <row r="148" spans="1:16" x14ac:dyDescent="0.2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Liberca</v>
      </c>
      <c r="O148" t="str">
        <f t="shared" si="8"/>
        <v>Medium</v>
      </c>
      <c r="P148" t="str">
        <f>_xlfn.XLOOKUP(Orders[[#This Row],[Customer ID]],customers!$A$1:$A$1001,customers!$I$1:$I$1001,,0)</f>
        <v>No</v>
      </c>
    </row>
    <row r="149" spans="1:16" x14ac:dyDescent="0.2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2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2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2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Liberca</v>
      </c>
      <c r="O152" t="str">
        <f t="shared" si="8"/>
        <v>Dark</v>
      </c>
      <c r="P152" t="str">
        <f>_xlfn.XLOOKUP(Orders[[#This Row],[Customer ID]],customers!$A$1:$A$1001,customers!$I$1:$I$1001,,0)</f>
        <v>Yes</v>
      </c>
    </row>
    <row r="153" spans="1:16" x14ac:dyDescent="0.2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2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2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2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2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2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2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2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2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Liberca</v>
      </c>
      <c r="O161" t="str">
        <f t="shared" si="8"/>
        <v>Light</v>
      </c>
      <c r="P161" t="str">
        <f>_xlfn.XLOOKUP(Orders[[#This Row],[Customer ID]],customers!$A$1:$A$1001,customers!$I$1:$I$1001,,0)</f>
        <v>No</v>
      </c>
    </row>
    <row r="162" spans="1:16" x14ac:dyDescent="0.2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2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2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2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2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2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2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2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2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2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2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2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2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2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2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2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2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2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2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2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2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2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2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2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2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2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2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2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Liberca</v>
      </c>
      <c r="O189" t="str">
        <f t="shared" si="8"/>
        <v>Medium</v>
      </c>
      <c r="P189" t="str">
        <f>_xlfn.XLOOKUP(Orders[[#This Row],[Customer ID]],customers!$A$1:$A$1001,customers!$I$1:$I$1001,,0)</f>
        <v>Yes</v>
      </c>
    </row>
    <row r="190" spans="1:16" x14ac:dyDescent="0.2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2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Liberca</v>
      </c>
      <c r="O191" t="str">
        <f t="shared" si="8"/>
        <v>Medium</v>
      </c>
      <c r="P191" t="str">
        <f>_xlfn.XLOOKUP(Orders[[#This Row],[Customer ID]],customers!$A$1:$A$1001,customers!$I$1:$I$1001,,0)</f>
        <v>Yes</v>
      </c>
    </row>
    <row r="192" spans="1:16" x14ac:dyDescent="0.2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Liberca</v>
      </c>
      <c r="O192" t="str">
        <f t="shared" si="8"/>
        <v>Medium</v>
      </c>
      <c r="P192" t="str">
        <f>_xlfn.XLOOKUP(Orders[[#This Row],[Customer ID]],customers!$A$1:$A$1001,customers!$I$1:$I$1001,,0)</f>
        <v>Yes</v>
      </c>
    </row>
    <row r="193" spans="1:16" x14ac:dyDescent="0.2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Liberca</v>
      </c>
      <c r="O193" t="str">
        <f t="shared" si="8"/>
        <v>Dark</v>
      </c>
      <c r="P193" t="str">
        <f>_xlfn.XLOOKUP(Orders[[#This Row],[Customer ID]],customers!$A$1:$A$1001,customers!$I$1:$I$1001,,0)</f>
        <v>Yes</v>
      </c>
    </row>
    <row r="194" spans="1:16" x14ac:dyDescent="0.2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2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 = "Exc","Excelsa",IF(I195="Ara","Arabica",IF(I195="Lib","Liberca",""))))</f>
        <v>Excelsa</v>
      </c>
      <c r="O195" t="str">
        <f t="shared" ref="O195:O258" si="11">IF(J195="M","Medium",IF(J195="L","Light",IF(J195="D","Dark","")))</f>
        <v>Light</v>
      </c>
      <c r="P195" t="str">
        <f>_xlfn.XLOOKUP(Orders[[#This Row],[Customer ID]],customers!$A$1:$A$1001,customers!$I$1:$I$1001,,0)</f>
        <v>No</v>
      </c>
    </row>
    <row r="196" spans="1:16" x14ac:dyDescent="0.2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2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2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2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Liberca</v>
      </c>
      <c r="O199" t="str">
        <f t="shared" si="11"/>
        <v>Dark</v>
      </c>
      <c r="P199" t="str">
        <f>_xlfn.XLOOKUP(Orders[[#This Row],[Customer ID]],customers!$A$1:$A$1001,customers!$I$1:$I$1001,,0)</f>
        <v>No</v>
      </c>
    </row>
    <row r="200" spans="1:16" x14ac:dyDescent="0.2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Liberca</v>
      </c>
      <c r="O200" t="str">
        <f t="shared" si="11"/>
        <v>Dark</v>
      </c>
      <c r="P200" t="str">
        <f>_xlfn.XLOOKUP(Orders[[#This Row],[Customer ID]],customers!$A$1:$A$1001,customers!$I$1:$I$1001,,0)</f>
        <v>No</v>
      </c>
    </row>
    <row r="201" spans="1:16" x14ac:dyDescent="0.2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Liberca</v>
      </c>
      <c r="O201" t="str">
        <f t="shared" si="11"/>
        <v>Light</v>
      </c>
      <c r="P201" t="str">
        <f>_xlfn.XLOOKUP(Orders[[#This Row],[Customer ID]],customers!$A$1:$A$1001,customers!$I$1:$I$1001,,0)</f>
        <v>No</v>
      </c>
    </row>
    <row r="202" spans="1:16" x14ac:dyDescent="0.2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2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Liberca</v>
      </c>
      <c r="O203" t="str">
        <f t="shared" si="11"/>
        <v>Light</v>
      </c>
      <c r="P203" t="str">
        <f>_xlfn.XLOOKUP(Orders[[#This Row],[Customer ID]],customers!$A$1:$A$1001,customers!$I$1:$I$1001,,0)</f>
        <v>No</v>
      </c>
    </row>
    <row r="204" spans="1:16" x14ac:dyDescent="0.2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Liberca</v>
      </c>
      <c r="O204" t="str">
        <f t="shared" si="11"/>
        <v>Dark</v>
      </c>
      <c r="P204" t="str">
        <f>_xlfn.XLOOKUP(Orders[[#This Row],[Customer ID]],customers!$A$1:$A$1001,customers!$I$1:$I$1001,,0)</f>
        <v>Yes</v>
      </c>
    </row>
    <row r="205" spans="1:16" x14ac:dyDescent="0.2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Liberca</v>
      </c>
      <c r="O205" t="str">
        <f t="shared" si="11"/>
        <v>Light</v>
      </c>
      <c r="P205" t="str">
        <f>_xlfn.XLOOKUP(Orders[[#This Row],[Customer ID]],customers!$A$1:$A$1001,customers!$I$1:$I$1001,,0)</f>
        <v>No</v>
      </c>
    </row>
    <row r="206" spans="1:16" x14ac:dyDescent="0.2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2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2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2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2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2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2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Liberca</v>
      </c>
      <c r="O212" t="str">
        <f t="shared" si="11"/>
        <v>Dark</v>
      </c>
      <c r="P212" t="str">
        <f>_xlfn.XLOOKUP(Orders[[#This Row],[Customer ID]],customers!$A$1:$A$1001,customers!$I$1:$I$1001,,0)</f>
        <v>Yes</v>
      </c>
    </row>
    <row r="213" spans="1:16" x14ac:dyDescent="0.2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2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2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2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Liberca</v>
      </c>
      <c r="O216" t="str">
        <f t="shared" si="11"/>
        <v>Light</v>
      </c>
      <c r="P216" t="str">
        <f>_xlfn.XLOOKUP(Orders[[#This Row],[Customer ID]],customers!$A$1:$A$1001,customers!$I$1:$I$1001,,0)</f>
        <v>No</v>
      </c>
    </row>
    <row r="217" spans="1:16" x14ac:dyDescent="0.2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Liberca</v>
      </c>
      <c r="O217" t="str">
        <f t="shared" si="11"/>
        <v>Dark</v>
      </c>
      <c r="P217" t="str">
        <f>_xlfn.XLOOKUP(Orders[[#This Row],[Customer ID]],customers!$A$1:$A$1001,customers!$I$1:$I$1001,,0)</f>
        <v>No</v>
      </c>
    </row>
    <row r="218" spans="1:16" x14ac:dyDescent="0.2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Liberca</v>
      </c>
      <c r="O218" t="str">
        <f t="shared" si="11"/>
        <v>Medium</v>
      </c>
      <c r="P218" t="str">
        <f>_xlfn.XLOOKUP(Orders[[#This Row],[Customer ID]],customers!$A$1:$A$1001,customers!$I$1:$I$1001,,0)</f>
        <v>Yes</v>
      </c>
    </row>
    <row r="219" spans="1:16" x14ac:dyDescent="0.2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2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2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2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2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2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Liberca</v>
      </c>
      <c r="O224" t="str">
        <f t="shared" si="11"/>
        <v>Dark</v>
      </c>
      <c r="P224" t="str">
        <f>_xlfn.XLOOKUP(Orders[[#This Row],[Customer ID]],customers!$A$1:$A$1001,customers!$I$1:$I$1001,,0)</f>
        <v>No</v>
      </c>
    </row>
    <row r="225" spans="1:16" x14ac:dyDescent="0.2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2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Liberca</v>
      </c>
      <c r="O226" t="str">
        <f t="shared" si="11"/>
        <v>Dark</v>
      </c>
      <c r="P226" t="str">
        <f>_xlfn.XLOOKUP(Orders[[#This Row],[Customer ID]],customers!$A$1:$A$1001,customers!$I$1:$I$1001,,0)</f>
        <v>Yes</v>
      </c>
    </row>
    <row r="227" spans="1:16" x14ac:dyDescent="0.2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2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2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2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2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Liberca</v>
      </c>
      <c r="O231" t="str">
        <f t="shared" si="11"/>
        <v>Medium</v>
      </c>
      <c r="P231" t="str">
        <f>_xlfn.XLOOKUP(Orders[[#This Row],[Customer ID]],customers!$A$1:$A$1001,customers!$I$1:$I$1001,,0)</f>
        <v>No</v>
      </c>
    </row>
    <row r="232" spans="1:16" x14ac:dyDescent="0.2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2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Liberca</v>
      </c>
      <c r="O233" t="str">
        <f t="shared" si="11"/>
        <v>Medium</v>
      </c>
      <c r="P233" t="str">
        <f>_xlfn.XLOOKUP(Orders[[#This Row],[Customer ID]],customers!$A$1:$A$1001,customers!$I$1:$I$1001,,0)</f>
        <v>Yes</v>
      </c>
    </row>
    <row r="234" spans="1:16" x14ac:dyDescent="0.2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Liberca</v>
      </c>
      <c r="O234" t="str">
        <f t="shared" si="11"/>
        <v>Light</v>
      </c>
      <c r="P234" t="str">
        <f>_xlfn.XLOOKUP(Orders[[#This Row],[Customer ID]],customers!$A$1:$A$1001,customers!$I$1:$I$1001,,0)</f>
        <v>No</v>
      </c>
    </row>
    <row r="235" spans="1:16" x14ac:dyDescent="0.2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2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Liberca</v>
      </c>
      <c r="O236" t="str">
        <f t="shared" si="11"/>
        <v>Light</v>
      </c>
      <c r="P236" t="str">
        <f>_xlfn.XLOOKUP(Orders[[#This Row],[Customer ID]],customers!$A$1:$A$1001,customers!$I$1:$I$1001,,0)</f>
        <v>No</v>
      </c>
    </row>
    <row r="237" spans="1:16" x14ac:dyDescent="0.2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Liberca</v>
      </c>
      <c r="O237" t="str">
        <f t="shared" si="11"/>
        <v>Light</v>
      </c>
      <c r="P237" t="str">
        <f>_xlfn.XLOOKUP(Orders[[#This Row],[Customer ID]],customers!$A$1:$A$1001,customers!$I$1:$I$1001,,0)</f>
        <v>No</v>
      </c>
    </row>
    <row r="238" spans="1:16" x14ac:dyDescent="0.2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Liberca</v>
      </c>
      <c r="O238" t="str">
        <f t="shared" si="11"/>
        <v>Dark</v>
      </c>
      <c r="P238" t="str">
        <f>_xlfn.XLOOKUP(Orders[[#This Row],[Customer ID]],customers!$A$1:$A$1001,customers!$I$1:$I$1001,,0)</f>
        <v>No</v>
      </c>
    </row>
    <row r="239" spans="1:16" x14ac:dyDescent="0.2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2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2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2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2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2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2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2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Liberca</v>
      </c>
      <c r="O246" t="str">
        <f t="shared" si="11"/>
        <v>Medium</v>
      </c>
      <c r="P246" t="str">
        <f>_xlfn.XLOOKUP(Orders[[#This Row],[Customer ID]],customers!$A$1:$A$1001,customers!$I$1:$I$1001,,0)</f>
        <v>No</v>
      </c>
    </row>
    <row r="247" spans="1:16" x14ac:dyDescent="0.2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Liberca</v>
      </c>
      <c r="O247" t="str">
        <f t="shared" si="11"/>
        <v>Light</v>
      </c>
      <c r="P247" t="str">
        <f>_xlfn.XLOOKUP(Orders[[#This Row],[Customer ID]],customers!$A$1:$A$1001,customers!$I$1:$I$1001,,0)</f>
        <v>Yes</v>
      </c>
    </row>
    <row r="248" spans="1:16" x14ac:dyDescent="0.2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Liberca</v>
      </c>
      <c r="O248" t="str">
        <f t="shared" si="11"/>
        <v>Dark</v>
      </c>
      <c r="P248" t="str">
        <f>_xlfn.XLOOKUP(Orders[[#This Row],[Customer ID]],customers!$A$1:$A$1001,customers!$I$1:$I$1001,,0)</f>
        <v>No</v>
      </c>
    </row>
    <row r="249" spans="1:16" x14ac:dyDescent="0.2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2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2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Liberca</v>
      </c>
      <c r="O251" t="str">
        <f t="shared" si="11"/>
        <v>Light</v>
      </c>
      <c r="P251" t="str">
        <f>_xlfn.XLOOKUP(Orders[[#This Row],[Customer ID]],customers!$A$1:$A$1001,customers!$I$1:$I$1001,,0)</f>
        <v>Yes</v>
      </c>
    </row>
    <row r="252" spans="1:16" x14ac:dyDescent="0.2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2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2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2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Liberca</v>
      </c>
      <c r="O255" t="str">
        <f t="shared" si="11"/>
        <v>Medium</v>
      </c>
      <c r="P255" t="str">
        <f>_xlfn.XLOOKUP(Orders[[#This Row],[Customer ID]],customers!$A$1:$A$1001,customers!$I$1:$I$1001,,0)</f>
        <v>No</v>
      </c>
    </row>
    <row r="256" spans="1:16" x14ac:dyDescent="0.2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2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2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Liberca</v>
      </c>
      <c r="O258" t="str">
        <f t="shared" si="11"/>
        <v>Medium</v>
      </c>
      <c r="P258" t="str">
        <f>_xlfn.XLOOKUP(Orders[[#This Row],[Customer ID]],customers!$A$1:$A$1001,customers!$I$1:$I$1001,,0)</f>
        <v>Yes</v>
      </c>
    </row>
    <row r="259" spans="1:16" x14ac:dyDescent="0.2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 = "Exc","Excelsa",IF(I259="Ara","Arabica",IF(I259="Lib","Liberca",""))))</f>
        <v>Excelsa</v>
      </c>
      <c r="O259" t="str">
        <f t="shared" ref="O259:O322" si="14">IF(J259="M","Medium",IF(J259="L","Light",IF(J259="D","Dark","")))</f>
        <v>Dark</v>
      </c>
      <c r="P259" t="str">
        <f>_xlfn.XLOOKUP(Orders[[#This Row],[Customer ID]],customers!$A$1:$A$1001,customers!$I$1:$I$1001,,0)</f>
        <v>Yes</v>
      </c>
    </row>
    <row r="260" spans="1:16" x14ac:dyDescent="0.2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2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2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2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2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2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Liberca</v>
      </c>
      <c r="O265" t="str">
        <f t="shared" si="14"/>
        <v>Medium</v>
      </c>
      <c r="P265" t="str">
        <f>_xlfn.XLOOKUP(Orders[[#This Row],[Customer ID]],customers!$A$1:$A$1001,customers!$I$1:$I$1001,,0)</f>
        <v>No</v>
      </c>
    </row>
    <row r="266" spans="1:16" x14ac:dyDescent="0.2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2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2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2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2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2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2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2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2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2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2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2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2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2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2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2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Liberca</v>
      </c>
      <c r="O281" t="str">
        <f t="shared" si="14"/>
        <v>Medium</v>
      </c>
      <c r="P281" t="str">
        <f>_xlfn.XLOOKUP(Orders[[#This Row],[Customer ID]],customers!$A$1:$A$1001,customers!$I$1:$I$1001,,0)</f>
        <v>Yes</v>
      </c>
    </row>
    <row r="282" spans="1:16" x14ac:dyDescent="0.2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2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2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2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2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2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Liberca</v>
      </c>
      <c r="O287" t="str">
        <f t="shared" si="14"/>
        <v>Light</v>
      </c>
      <c r="P287" t="str">
        <f>_xlfn.XLOOKUP(Orders[[#This Row],[Customer ID]],customers!$A$1:$A$1001,customers!$I$1:$I$1001,,0)</f>
        <v>No</v>
      </c>
    </row>
    <row r="288" spans="1:16" x14ac:dyDescent="0.2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2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2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2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2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2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2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2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2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2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2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2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2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2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2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2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Liberca</v>
      </c>
      <c r="O303" t="str">
        <f t="shared" si="14"/>
        <v>Dark</v>
      </c>
      <c r="P303" t="str">
        <f>_xlfn.XLOOKUP(Orders[[#This Row],[Customer ID]],customers!$A$1:$A$1001,customers!$I$1:$I$1001,,0)</f>
        <v>Yes</v>
      </c>
    </row>
    <row r="304" spans="1:16" x14ac:dyDescent="0.2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2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2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2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Liberca</v>
      </c>
      <c r="O307" t="str">
        <f t="shared" si="14"/>
        <v>Medium</v>
      </c>
      <c r="P307" t="str">
        <f>_xlfn.XLOOKUP(Orders[[#This Row],[Customer ID]],customers!$A$1:$A$1001,customers!$I$1:$I$1001,,0)</f>
        <v>No</v>
      </c>
    </row>
    <row r="308" spans="1:16" x14ac:dyDescent="0.2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2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2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2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Liberca</v>
      </c>
      <c r="O311" t="str">
        <f t="shared" si="14"/>
        <v>Medium</v>
      </c>
      <c r="P311" t="str">
        <f>_xlfn.XLOOKUP(Orders[[#This Row],[Customer ID]],customers!$A$1:$A$1001,customers!$I$1:$I$1001,,0)</f>
        <v>Yes</v>
      </c>
    </row>
    <row r="312" spans="1:16" x14ac:dyDescent="0.2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2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2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2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2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2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2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2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2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2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2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2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 = "Exc","Excelsa",IF(I323="Ara","Arabica",IF(I323="Lib","Liberca",""))))</f>
        <v>Arabica</v>
      </c>
      <c r="O323" t="str">
        <f t="shared" ref="O323:O386" si="17">IF(J323="M","Medium",IF(J323="L","Light",IF(J323="D","Dark","")))</f>
        <v>Medium</v>
      </c>
      <c r="P323" t="str">
        <f>_xlfn.XLOOKUP(Orders[[#This Row],[Customer ID]],customers!$A$1:$A$1001,customers!$I$1:$I$1001,,0)</f>
        <v>Yes</v>
      </c>
    </row>
    <row r="324" spans="1:16" x14ac:dyDescent="0.2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Liberca</v>
      </c>
      <c r="O324" t="str">
        <f t="shared" si="17"/>
        <v>Dark</v>
      </c>
      <c r="P324" t="str">
        <f>_xlfn.XLOOKUP(Orders[[#This Row],[Customer ID]],customers!$A$1:$A$1001,customers!$I$1:$I$1001,,0)</f>
        <v>No</v>
      </c>
    </row>
    <row r="325" spans="1:16" x14ac:dyDescent="0.2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2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2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2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2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2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Liberca</v>
      </c>
      <c r="O330" t="str">
        <f t="shared" si="17"/>
        <v>Light</v>
      </c>
      <c r="P330" t="str">
        <f>_xlfn.XLOOKUP(Orders[[#This Row],[Customer ID]],customers!$A$1:$A$1001,customers!$I$1:$I$1001,,0)</f>
        <v>Yes</v>
      </c>
    </row>
    <row r="331" spans="1:16" x14ac:dyDescent="0.2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2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2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2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2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2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2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Liberca</v>
      </c>
      <c r="O337" t="str">
        <f t="shared" si="17"/>
        <v>Light</v>
      </c>
      <c r="P337" t="str">
        <f>_xlfn.XLOOKUP(Orders[[#This Row],[Customer ID]],customers!$A$1:$A$1001,customers!$I$1:$I$1001,,0)</f>
        <v>Yes</v>
      </c>
    </row>
    <row r="338" spans="1:16" x14ac:dyDescent="0.2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2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2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2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2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2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2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Liberca</v>
      </c>
      <c r="O344" t="str">
        <f t="shared" si="17"/>
        <v>Dark</v>
      </c>
      <c r="P344" t="str">
        <f>_xlfn.XLOOKUP(Orders[[#This Row],[Customer ID]],customers!$A$1:$A$1001,customers!$I$1:$I$1001,,0)</f>
        <v>No</v>
      </c>
    </row>
    <row r="345" spans="1:16" x14ac:dyDescent="0.2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2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2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2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2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Liberca</v>
      </c>
      <c r="O349" t="str">
        <f t="shared" si="17"/>
        <v>Medium</v>
      </c>
      <c r="P349" t="str">
        <f>_xlfn.XLOOKUP(Orders[[#This Row],[Customer ID]],customers!$A$1:$A$1001,customers!$I$1:$I$1001,,0)</f>
        <v>No</v>
      </c>
    </row>
    <row r="350" spans="1:16" x14ac:dyDescent="0.2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2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2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2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2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2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2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2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2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Liberca</v>
      </c>
      <c r="O358" t="str">
        <f t="shared" si="17"/>
        <v>Dark</v>
      </c>
      <c r="P358" t="str">
        <f>_xlfn.XLOOKUP(Orders[[#This Row],[Customer ID]],customers!$A$1:$A$1001,customers!$I$1:$I$1001,,0)</f>
        <v>Yes</v>
      </c>
    </row>
    <row r="359" spans="1:16" x14ac:dyDescent="0.2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2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2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2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2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2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2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Liberca</v>
      </c>
      <c r="O365" t="str">
        <f t="shared" si="17"/>
        <v>Medium</v>
      </c>
      <c r="P365" t="str">
        <f>_xlfn.XLOOKUP(Orders[[#This Row],[Customer ID]],customers!$A$1:$A$1001,customers!$I$1:$I$1001,,0)</f>
        <v>No</v>
      </c>
    </row>
    <row r="366" spans="1:16" x14ac:dyDescent="0.2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2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Liberca</v>
      </c>
      <c r="O367" t="str">
        <f t="shared" si="17"/>
        <v>Dark</v>
      </c>
      <c r="P367" t="str">
        <f>_xlfn.XLOOKUP(Orders[[#This Row],[Customer ID]],customers!$A$1:$A$1001,customers!$I$1:$I$1001,,0)</f>
        <v>No</v>
      </c>
    </row>
    <row r="368" spans="1:16" x14ac:dyDescent="0.2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2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Liberca</v>
      </c>
      <c r="O369" t="str">
        <f t="shared" si="17"/>
        <v>Medium</v>
      </c>
      <c r="P369" t="str">
        <f>_xlfn.XLOOKUP(Orders[[#This Row],[Customer ID]],customers!$A$1:$A$1001,customers!$I$1:$I$1001,,0)</f>
        <v>Yes</v>
      </c>
    </row>
    <row r="370" spans="1:16" x14ac:dyDescent="0.2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2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2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2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2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2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2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Liberca</v>
      </c>
      <c r="O376" t="str">
        <f t="shared" si="17"/>
        <v>Light</v>
      </c>
      <c r="P376" t="str">
        <f>_xlfn.XLOOKUP(Orders[[#This Row],[Customer ID]],customers!$A$1:$A$1001,customers!$I$1:$I$1001,,0)</f>
        <v>Yes</v>
      </c>
    </row>
    <row r="377" spans="1:16" x14ac:dyDescent="0.2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2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2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2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2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2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Liberca</v>
      </c>
      <c r="O382" t="str">
        <f t="shared" si="17"/>
        <v>Dark</v>
      </c>
      <c r="P382" t="str">
        <f>_xlfn.XLOOKUP(Orders[[#This Row],[Customer ID]],customers!$A$1:$A$1001,customers!$I$1:$I$1001,,0)</f>
        <v>No</v>
      </c>
    </row>
    <row r="383" spans="1:16" x14ac:dyDescent="0.2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2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2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2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2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 = "Exc","Excelsa",IF(I387="Ara","Arabica",IF(I387="Lib","Liberca",""))))</f>
        <v>Liberca</v>
      </c>
      <c r="O387" t="str">
        <f t="shared" ref="O387:O450" si="20">IF(J387="M","Medium",IF(J387="L","Light",IF(J387="D","Dark","")))</f>
        <v>Medium</v>
      </c>
      <c r="P387" t="str">
        <f>_xlfn.XLOOKUP(Orders[[#This Row],[Customer ID]],customers!$A$1:$A$1001,customers!$I$1:$I$1001,,0)</f>
        <v>Yes</v>
      </c>
    </row>
    <row r="388" spans="1:16" x14ac:dyDescent="0.2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2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2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Liberca</v>
      </c>
      <c r="O390" t="str">
        <f t="shared" si="20"/>
        <v>Dark</v>
      </c>
      <c r="P390" t="str">
        <f>_xlfn.XLOOKUP(Orders[[#This Row],[Customer ID]],customers!$A$1:$A$1001,customers!$I$1:$I$1001,,0)</f>
        <v>Yes</v>
      </c>
    </row>
    <row r="391" spans="1:16" x14ac:dyDescent="0.2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Liberca</v>
      </c>
      <c r="O391" t="str">
        <f t="shared" si="20"/>
        <v>Dark</v>
      </c>
      <c r="P391" t="str">
        <f>_xlfn.XLOOKUP(Orders[[#This Row],[Customer ID]],customers!$A$1:$A$1001,customers!$I$1:$I$1001,,0)</f>
        <v>Yes</v>
      </c>
    </row>
    <row r="392" spans="1:16" x14ac:dyDescent="0.2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2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2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2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2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2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Liberca</v>
      </c>
      <c r="O397" t="str">
        <f t="shared" si="20"/>
        <v>Dark</v>
      </c>
      <c r="P397" t="str">
        <f>_xlfn.XLOOKUP(Orders[[#This Row],[Customer ID]],customers!$A$1:$A$1001,customers!$I$1:$I$1001,,0)</f>
        <v>Yes</v>
      </c>
    </row>
    <row r="398" spans="1:16" x14ac:dyDescent="0.2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2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Liberca</v>
      </c>
      <c r="O399" t="str">
        <f t="shared" si="20"/>
        <v>Dark</v>
      </c>
      <c r="P399" t="str">
        <f>_xlfn.XLOOKUP(Orders[[#This Row],[Customer ID]],customers!$A$1:$A$1001,customers!$I$1:$I$1001,,0)</f>
        <v>Yes</v>
      </c>
    </row>
    <row r="400" spans="1:16" x14ac:dyDescent="0.2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2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2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Liberca</v>
      </c>
      <c r="O402" t="str">
        <f t="shared" si="20"/>
        <v>Light</v>
      </c>
      <c r="P402" t="str">
        <f>_xlfn.XLOOKUP(Orders[[#This Row],[Customer ID]],customers!$A$1:$A$1001,customers!$I$1:$I$1001,,0)</f>
        <v>No</v>
      </c>
    </row>
    <row r="403" spans="1:16" x14ac:dyDescent="0.2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Liberca</v>
      </c>
      <c r="O403" t="str">
        <f t="shared" si="20"/>
        <v>Medium</v>
      </c>
      <c r="P403" t="str">
        <f>_xlfn.XLOOKUP(Orders[[#This Row],[Customer ID]],customers!$A$1:$A$1001,customers!$I$1:$I$1001,,0)</f>
        <v>Yes</v>
      </c>
    </row>
    <row r="404" spans="1:16" x14ac:dyDescent="0.2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2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Liberca</v>
      </c>
      <c r="O405" t="str">
        <f t="shared" si="20"/>
        <v>Light</v>
      </c>
      <c r="P405" t="str">
        <f>_xlfn.XLOOKUP(Orders[[#This Row],[Customer ID]],customers!$A$1:$A$1001,customers!$I$1:$I$1001,,0)</f>
        <v>No</v>
      </c>
    </row>
    <row r="406" spans="1:16" x14ac:dyDescent="0.2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2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2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2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2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2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Liberca</v>
      </c>
      <c r="O411" t="str">
        <f t="shared" si="20"/>
        <v>Light</v>
      </c>
      <c r="P411" t="str">
        <f>_xlfn.XLOOKUP(Orders[[#This Row],[Customer ID]],customers!$A$1:$A$1001,customers!$I$1:$I$1001,,0)</f>
        <v>Yes</v>
      </c>
    </row>
    <row r="412" spans="1:16" x14ac:dyDescent="0.2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2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Liberca</v>
      </c>
      <c r="O413" t="str">
        <f t="shared" si="20"/>
        <v>Medium</v>
      </c>
      <c r="P413" t="str">
        <f>_xlfn.XLOOKUP(Orders[[#This Row],[Customer ID]],customers!$A$1:$A$1001,customers!$I$1:$I$1001,,0)</f>
        <v>Yes</v>
      </c>
    </row>
    <row r="414" spans="1:16" x14ac:dyDescent="0.2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2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Liberca</v>
      </c>
      <c r="O415" t="str">
        <f t="shared" si="20"/>
        <v>Light</v>
      </c>
      <c r="P415" t="str">
        <f>_xlfn.XLOOKUP(Orders[[#This Row],[Customer ID]],customers!$A$1:$A$1001,customers!$I$1:$I$1001,,0)</f>
        <v>Yes</v>
      </c>
    </row>
    <row r="416" spans="1:16" x14ac:dyDescent="0.2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2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2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2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2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2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Liberca</v>
      </c>
      <c r="O421" t="str">
        <f t="shared" si="20"/>
        <v>Medium</v>
      </c>
      <c r="P421" t="str">
        <f>_xlfn.XLOOKUP(Orders[[#This Row],[Customer ID]],customers!$A$1:$A$1001,customers!$I$1:$I$1001,,0)</f>
        <v>Yes</v>
      </c>
    </row>
    <row r="422" spans="1:16" x14ac:dyDescent="0.2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Liberca</v>
      </c>
      <c r="O422" t="str">
        <f t="shared" si="20"/>
        <v>Dark</v>
      </c>
      <c r="P422" t="str">
        <f>_xlfn.XLOOKUP(Orders[[#This Row],[Customer ID]],customers!$A$1:$A$1001,customers!$I$1:$I$1001,,0)</f>
        <v>No</v>
      </c>
    </row>
    <row r="423" spans="1:16" x14ac:dyDescent="0.2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2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2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2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2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2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2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2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2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2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2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2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2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Liberca</v>
      </c>
      <c r="O435" t="str">
        <f t="shared" si="20"/>
        <v>Medium</v>
      </c>
      <c r="P435" t="str">
        <f>_xlfn.XLOOKUP(Orders[[#This Row],[Customer ID]],customers!$A$1:$A$1001,customers!$I$1:$I$1001,,0)</f>
        <v>Yes</v>
      </c>
    </row>
    <row r="436" spans="1:16" x14ac:dyDescent="0.2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2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2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Liberca</v>
      </c>
      <c r="O438" t="str">
        <f t="shared" si="20"/>
        <v>Light</v>
      </c>
      <c r="P438" t="str">
        <f>_xlfn.XLOOKUP(Orders[[#This Row],[Customer ID]],customers!$A$1:$A$1001,customers!$I$1:$I$1001,,0)</f>
        <v>Yes</v>
      </c>
    </row>
    <row r="439" spans="1:16" x14ac:dyDescent="0.2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Liberca</v>
      </c>
      <c r="O439" t="str">
        <f t="shared" si="20"/>
        <v>Dark</v>
      </c>
      <c r="P439" t="str">
        <f>_xlfn.XLOOKUP(Orders[[#This Row],[Customer ID]],customers!$A$1:$A$1001,customers!$I$1:$I$1001,,0)</f>
        <v>No</v>
      </c>
    </row>
    <row r="440" spans="1:16" x14ac:dyDescent="0.2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Liberca</v>
      </c>
      <c r="O440" t="str">
        <f t="shared" si="20"/>
        <v>Dark</v>
      </c>
      <c r="P440" t="str">
        <f>_xlfn.XLOOKUP(Orders[[#This Row],[Customer ID]],customers!$A$1:$A$1001,customers!$I$1:$I$1001,,0)</f>
        <v>No</v>
      </c>
    </row>
    <row r="441" spans="1:16" x14ac:dyDescent="0.2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2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2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2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2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2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2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Liberca</v>
      </c>
      <c r="O447" t="str">
        <f t="shared" si="20"/>
        <v>Medium</v>
      </c>
      <c r="P447" t="str">
        <f>_xlfn.XLOOKUP(Orders[[#This Row],[Customer ID]],customers!$A$1:$A$1001,customers!$I$1:$I$1001,,0)</f>
        <v>Yes</v>
      </c>
    </row>
    <row r="448" spans="1:16" x14ac:dyDescent="0.2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Liberca</v>
      </c>
      <c r="O448" t="str">
        <f t="shared" si="20"/>
        <v>Medium</v>
      </c>
      <c r="P448" t="str">
        <f>_xlfn.XLOOKUP(Orders[[#This Row],[Customer ID]],customers!$A$1:$A$1001,customers!$I$1:$I$1001,,0)</f>
        <v>Yes</v>
      </c>
    </row>
    <row r="449" spans="1:16" x14ac:dyDescent="0.2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2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2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 = "Exc","Excelsa",IF(I451="Ara","Arabica",IF(I451="Lib","Liberca",""))))</f>
        <v>Robusta</v>
      </c>
      <c r="O451" t="str">
        <f t="shared" ref="O451:O514" si="23">IF(J451="M","Medium",IF(J451="L","Light",IF(J451="D","Dark","")))</f>
        <v>Dark</v>
      </c>
      <c r="P451" t="str">
        <f>_xlfn.XLOOKUP(Orders[[#This Row],[Customer ID]],customers!$A$1:$A$1001,customers!$I$1:$I$1001,,0)</f>
        <v>No</v>
      </c>
    </row>
    <row r="452" spans="1:16" x14ac:dyDescent="0.2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Liberca</v>
      </c>
      <c r="O452" t="str">
        <f t="shared" si="23"/>
        <v>Light</v>
      </c>
      <c r="P452" t="str">
        <f>_xlfn.XLOOKUP(Orders[[#This Row],[Customer ID]],customers!$A$1:$A$1001,customers!$I$1:$I$1001,,0)</f>
        <v>No</v>
      </c>
    </row>
    <row r="453" spans="1:16" x14ac:dyDescent="0.2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2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2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Liberca</v>
      </c>
      <c r="O455" t="str">
        <f t="shared" si="23"/>
        <v>Light</v>
      </c>
      <c r="P455" t="str">
        <f>_xlfn.XLOOKUP(Orders[[#This Row],[Customer ID]],customers!$A$1:$A$1001,customers!$I$1:$I$1001,,0)</f>
        <v>No</v>
      </c>
    </row>
    <row r="456" spans="1:16" x14ac:dyDescent="0.2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2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Liberca</v>
      </c>
      <c r="O457" t="str">
        <f t="shared" si="23"/>
        <v>Light</v>
      </c>
      <c r="P457" t="str">
        <f>_xlfn.XLOOKUP(Orders[[#This Row],[Customer ID]],customers!$A$1:$A$1001,customers!$I$1:$I$1001,,0)</f>
        <v>Yes</v>
      </c>
    </row>
    <row r="458" spans="1:16" x14ac:dyDescent="0.2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2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Liberca</v>
      </c>
      <c r="O459" t="str">
        <f t="shared" si="23"/>
        <v>Light</v>
      </c>
      <c r="P459" t="str">
        <f>_xlfn.XLOOKUP(Orders[[#This Row],[Customer ID]],customers!$A$1:$A$1001,customers!$I$1:$I$1001,,0)</f>
        <v>No</v>
      </c>
    </row>
    <row r="460" spans="1:16" x14ac:dyDescent="0.2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2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Liberca</v>
      </c>
      <c r="O461" t="str">
        <f t="shared" si="23"/>
        <v>Light</v>
      </c>
      <c r="P461" t="str">
        <f>_xlfn.XLOOKUP(Orders[[#This Row],[Customer ID]],customers!$A$1:$A$1001,customers!$I$1:$I$1001,,0)</f>
        <v>No</v>
      </c>
    </row>
    <row r="462" spans="1:16" x14ac:dyDescent="0.2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2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2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2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2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Liberca</v>
      </c>
      <c r="O466" t="str">
        <f t="shared" si="23"/>
        <v>Dark</v>
      </c>
      <c r="P466" t="str">
        <f>_xlfn.XLOOKUP(Orders[[#This Row],[Customer ID]],customers!$A$1:$A$1001,customers!$I$1:$I$1001,,0)</f>
        <v>No</v>
      </c>
    </row>
    <row r="467" spans="1:16" x14ac:dyDescent="0.2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2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2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2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2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2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2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Liberca</v>
      </c>
      <c r="O473" t="str">
        <f t="shared" si="23"/>
        <v>Medium</v>
      </c>
      <c r="P473" t="str">
        <f>_xlfn.XLOOKUP(Orders[[#This Row],[Customer ID]],customers!$A$1:$A$1001,customers!$I$1:$I$1001,,0)</f>
        <v>Yes</v>
      </c>
    </row>
    <row r="474" spans="1:16" x14ac:dyDescent="0.2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2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2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2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Liberca</v>
      </c>
      <c r="O477" t="str">
        <f t="shared" si="23"/>
        <v>Medium</v>
      </c>
      <c r="P477" t="str">
        <f>_xlfn.XLOOKUP(Orders[[#This Row],[Customer ID]],customers!$A$1:$A$1001,customers!$I$1:$I$1001,,0)</f>
        <v>No</v>
      </c>
    </row>
    <row r="478" spans="1:16" x14ac:dyDescent="0.2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2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Liberca</v>
      </c>
      <c r="O479" t="str">
        <f t="shared" si="23"/>
        <v>Medium</v>
      </c>
      <c r="P479" t="str">
        <f>_xlfn.XLOOKUP(Orders[[#This Row],[Customer ID]],customers!$A$1:$A$1001,customers!$I$1:$I$1001,,0)</f>
        <v>No</v>
      </c>
    </row>
    <row r="480" spans="1:16" x14ac:dyDescent="0.2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2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2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2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2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2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Liberca</v>
      </c>
      <c r="O485" t="str">
        <f t="shared" si="23"/>
        <v>Dark</v>
      </c>
      <c r="P485" t="str">
        <f>_xlfn.XLOOKUP(Orders[[#This Row],[Customer ID]],customers!$A$1:$A$1001,customers!$I$1:$I$1001,,0)</f>
        <v>Yes</v>
      </c>
    </row>
    <row r="486" spans="1:16" x14ac:dyDescent="0.2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Liberca</v>
      </c>
      <c r="O486" t="str">
        <f t="shared" si="23"/>
        <v>Light</v>
      </c>
      <c r="P486" t="str">
        <f>_xlfn.XLOOKUP(Orders[[#This Row],[Customer ID]],customers!$A$1:$A$1001,customers!$I$1:$I$1001,,0)</f>
        <v>No</v>
      </c>
    </row>
    <row r="487" spans="1:16" x14ac:dyDescent="0.2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2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Liberca</v>
      </c>
      <c r="O488" t="str">
        <f t="shared" si="23"/>
        <v>Medium</v>
      </c>
      <c r="P488" t="str">
        <f>_xlfn.XLOOKUP(Orders[[#This Row],[Customer ID]],customers!$A$1:$A$1001,customers!$I$1:$I$1001,,0)</f>
        <v>Yes</v>
      </c>
    </row>
    <row r="489" spans="1:16" x14ac:dyDescent="0.2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2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2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Liberca</v>
      </c>
      <c r="O491" t="str">
        <f t="shared" si="23"/>
        <v>Light</v>
      </c>
      <c r="P491" t="str">
        <f>_xlfn.XLOOKUP(Orders[[#This Row],[Customer ID]],customers!$A$1:$A$1001,customers!$I$1:$I$1001,,0)</f>
        <v>No</v>
      </c>
    </row>
    <row r="492" spans="1:16" x14ac:dyDescent="0.2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Liberca</v>
      </c>
      <c r="O492" t="str">
        <f t="shared" si="23"/>
        <v>Dark</v>
      </c>
      <c r="P492" t="str">
        <f>_xlfn.XLOOKUP(Orders[[#This Row],[Customer ID]],customers!$A$1:$A$1001,customers!$I$1:$I$1001,,0)</f>
        <v>No</v>
      </c>
    </row>
    <row r="493" spans="1:16" x14ac:dyDescent="0.2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Liberca</v>
      </c>
      <c r="O493" t="str">
        <f t="shared" si="23"/>
        <v>Dark</v>
      </c>
      <c r="P493" t="str">
        <f>_xlfn.XLOOKUP(Orders[[#This Row],[Customer ID]],customers!$A$1:$A$1001,customers!$I$1:$I$1001,,0)</f>
        <v>No</v>
      </c>
    </row>
    <row r="494" spans="1:16" x14ac:dyDescent="0.2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2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2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Liberca</v>
      </c>
      <c r="O496" t="str">
        <f t="shared" si="23"/>
        <v>Light</v>
      </c>
      <c r="P496" t="str">
        <f>_xlfn.XLOOKUP(Orders[[#This Row],[Customer ID]],customers!$A$1:$A$1001,customers!$I$1:$I$1001,,0)</f>
        <v>No</v>
      </c>
    </row>
    <row r="497" spans="1:16" x14ac:dyDescent="0.2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Liberca</v>
      </c>
      <c r="O497" t="str">
        <f t="shared" si="23"/>
        <v>Light</v>
      </c>
      <c r="P497" t="str">
        <f>_xlfn.XLOOKUP(Orders[[#This Row],[Customer ID]],customers!$A$1:$A$1001,customers!$I$1:$I$1001,,0)</f>
        <v>Yes</v>
      </c>
    </row>
    <row r="498" spans="1:16" x14ac:dyDescent="0.2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2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2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2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2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2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2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2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Liberca</v>
      </c>
      <c r="O505" t="str">
        <f t="shared" si="23"/>
        <v>Dark</v>
      </c>
      <c r="P505" t="str">
        <f>_xlfn.XLOOKUP(Orders[[#This Row],[Customer ID]],customers!$A$1:$A$1001,customers!$I$1:$I$1001,,0)</f>
        <v>No</v>
      </c>
    </row>
    <row r="506" spans="1:16" x14ac:dyDescent="0.2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Liberca</v>
      </c>
      <c r="O506" t="str">
        <f t="shared" si="23"/>
        <v>Light</v>
      </c>
      <c r="P506" t="str">
        <f>_xlfn.XLOOKUP(Orders[[#This Row],[Customer ID]],customers!$A$1:$A$1001,customers!$I$1:$I$1001,,0)</f>
        <v>No</v>
      </c>
    </row>
    <row r="507" spans="1:16" x14ac:dyDescent="0.2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Liberca</v>
      </c>
      <c r="O507" t="str">
        <f t="shared" si="23"/>
        <v>Medium</v>
      </c>
      <c r="P507" t="str">
        <f>_xlfn.XLOOKUP(Orders[[#This Row],[Customer ID]],customers!$A$1:$A$1001,customers!$I$1:$I$1001,,0)</f>
        <v>No</v>
      </c>
    </row>
    <row r="508" spans="1:16" x14ac:dyDescent="0.2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2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2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Liberca</v>
      </c>
      <c r="O510" t="str">
        <f t="shared" si="23"/>
        <v>Dark</v>
      </c>
      <c r="P510" t="str">
        <f>_xlfn.XLOOKUP(Orders[[#This Row],[Customer ID]],customers!$A$1:$A$1001,customers!$I$1:$I$1001,,0)</f>
        <v>No</v>
      </c>
    </row>
    <row r="511" spans="1:16" x14ac:dyDescent="0.2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2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2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2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Liberca</v>
      </c>
      <c r="O514" t="str">
        <f t="shared" si="23"/>
        <v>Light</v>
      </c>
      <c r="P514" t="str">
        <f>_xlfn.XLOOKUP(Orders[[#This Row],[Customer ID]],customers!$A$1:$A$1001,customers!$I$1:$I$1001,,0)</f>
        <v>No</v>
      </c>
    </row>
    <row r="515" spans="1:16" x14ac:dyDescent="0.2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 = "Exc","Excelsa",IF(I515="Ara","Arabica",IF(I515="Lib","Liberca",""))))</f>
        <v>Liberca</v>
      </c>
      <c r="O515" t="str">
        <f t="shared" ref="O515:O578" si="26">IF(J515="M","Medium",IF(J515="L","Light",IF(J515="D","Dark","")))</f>
        <v>Light</v>
      </c>
      <c r="P515" t="str">
        <f>_xlfn.XLOOKUP(Orders[[#This Row],[Customer ID]],customers!$A$1:$A$1001,customers!$I$1:$I$1001,,0)</f>
        <v>No</v>
      </c>
    </row>
    <row r="516" spans="1:16" x14ac:dyDescent="0.2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Liberca</v>
      </c>
      <c r="O516" t="str">
        <f t="shared" si="26"/>
        <v>Medium</v>
      </c>
      <c r="P516" t="str">
        <f>_xlfn.XLOOKUP(Orders[[#This Row],[Customer ID]],customers!$A$1:$A$1001,customers!$I$1:$I$1001,,0)</f>
        <v>Yes</v>
      </c>
    </row>
    <row r="517" spans="1:16" x14ac:dyDescent="0.2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2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2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Liberca</v>
      </c>
      <c r="O519" t="str">
        <f t="shared" si="26"/>
        <v>Dark</v>
      </c>
      <c r="P519" t="str">
        <f>_xlfn.XLOOKUP(Orders[[#This Row],[Customer ID]],customers!$A$1:$A$1001,customers!$I$1:$I$1001,,0)</f>
        <v>No</v>
      </c>
    </row>
    <row r="520" spans="1:16" x14ac:dyDescent="0.2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2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2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Liberca</v>
      </c>
      <c r="O522" t="str">
        <f t="shared" si="26"/>
        <v>Dark</v>
      </c>
      <c r="P522" t="str">
        <f>_xlfn.XLOOKUP(Orders[[#This Row],[Customer ID]],customers!$A$1:$A$1001,customers!$I$1:$I$1001,,0)</f>
        <v>No</v>
      </c>
    </row>
    <row r="523" spans="1:16" x14ac:dyDescent="0.2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2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2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Liberca</v>
      </c>
      <c r="O525" t="str">
        <f t="shared" si="26"/>
        <v>Dark</v>
      </c>
      <c r="P525" t="str">
        <f>_xlfn.XLOOKUP(Orders[[#This Row],[Customer ID]],customers!$A$1:$A$1001,customers!$I$1:$I$1001,,0)</f>
        <v>No</v>
      </c>
    </row>
    <row r="526" spans="1:16" x14ac:dyDescent="0.2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Liberca</v>
      </c>
      <c r="O526" t="str">
        <f t="shared" si="26"/>
        <v>Light</v>
      </c>
      <c r="P526" t="str">
        <f>_xlfn.XLOOKUP(Orders[[#This Row],[Customer ID]],customers!$A$1:$A$1001,customers!$I$1:$I$1001,,0)</f>
        <v>No</v>
      </c>
    </row>
    <row r="527" spans="1:16" x14ac:dyDescent="0.2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2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2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2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2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2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2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2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2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2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2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Liberca</v>
      </c>
      <c r="O537" t="str">
        <f t="shared" si="26"/>
        <v>Light</v>
      </c>
      <c r="P537" t="str">
        <f>_xlfn.XLOOKUP(Orders[[#This Row],[Customer ID]],customers!$A$1:$A$1001,customers!$I$1:$I$1001,,0)</f>
        <v>No</v>
      </c>
    </row>
    <row r="538" spans="1:16" x14ac:dyDescent="0.2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2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2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2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2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Liberca</v>
      </c>
      <c r="O542" t="str">
        <f t="shared" si="26"/>
        <v>Light</v>
      </c>
      <c r="P542" t="str">
        <f>_xlfn.XLOOKUP(Orders[[#This Row],[Customer ID]],customers!$A$1:$A$1001,customers!$I$1:$I$1001,,0)</f>
        <v>Yes</v>
      </c>
    </row>
    <row r="543" spans="1:16" x14ac:dyDescent="0.2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2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2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2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2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Liberca</v>
      </c>
      <c r="O547" t="str">
        <f t="shared" si="26"/>
        <v>Dark</v>
      </c>
      <c r="P547" t="str">
        <f>_xlfn.XLOOKUP(Orders[[#This Row],[Customer ID]],customers!$A$1:$A$1001,customers!$I$1:$I$1001,,0)</f>
        <v>No</v>
      </c>
    </row>
    <row r="548" spans="1:16" x14ac:dyDescent="0.2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2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2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2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2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Liberca</v>
      </c>
      <c r="O552" t="str">
        <f t="shared" si="26"/>
        <v>Dark</v>
      </c>
      <c r="P552" t="str">
        <f>_xlfn.XLOOKUP(Orders[[#This Row],[Customer ID]],customers!$A$1:$A$1001,customers!$I$1:$I$1001,,0)</f>
        <v>Yes</v>
      </c>
    </row>
    <row r="553" spans="1:16" x14ac:dyDescent="0.2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2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2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2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2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2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Liberca</v>
      </c>
      <c r="O558" t="str">
        <f t="shared" si="26"/>
        <v>Medium</v>
      </c>
      <c r="P558" t="str">
        <f>_xlfn.XLOOKUP(Orders[[#This Row],[Customer ID]],customers!$A$1:$A$1001,customers!$I$1:$I$1001,,0)</f>
        <v>Yes</v>
      </c>
    </row>
    <row r="559" spans="1:16" x14ac:dyDescent="0.2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2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Liberca</v>
      </c>
      <c r="O560" t="str">
        <f t="shared" si="26"/>
        <v>Dark</v>
      </c>
      <c r="P560" t="str">
        <f>_xlfn.XLOOKUP(Orders[[#This Row],[Customer ID]],customers!$A$1:$A$1001,customers!$I$1:$I$1001,,0)</f>
        <v>Yes</v>
      </c>
    </row>
    <row r="561" spans="1:16" x14ac:dyDescent="0.2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2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2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2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Liberca</v>
      </c>
      <c r="O564" t="str">
        <f t="shared" si="26"/>
        <v>Light</v>
      </c>
      <c r="P564" t="str">
        <f>_xlfn.XLOOKUP(Orders[[#This Row],[Customer ID]],customers!$A$1:$A$1001,customers!$I$1:$I$1001,,0)</f>
        <v>No</v>
      </c>
    </row>
    <row r="565" spans="1:16" x14ac:dyDescent="0.2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2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2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2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2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2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Liberca</v>
      </c>
      <c r="O570" t="str">
        <f t="shared" si="26"/>
        <v>Light</v>
      </c>
      <c r="P570" t="str">
        <f>_xlfn.XLOOKUP(Orders[[#This Row],[Customer ID]],customers!$A$1:$A$1001,customers!$I$1:$I$1001,,0)</f>
        <v>Yes</v>
      </c>
    </row>
    <row r="571" spans="1:16" x14ac:dyDescent="0.2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2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2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2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2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2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2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Liberca</v>
      </c>
      <c r="O577" t="str">
        <f t="shared" si="26"/>
        <v>Medium</v>
      </c>
      <c r="P577" t="str">
        <f>_xlfn.XLOOKUP(Orders[[#This Row],[Customer ID]],customers!$A$1:$A$1001,customers!$I$1:$I$1001,,0)</f>
        <v>No</v>
      </c>
    </row>
    <row r="578" spans="1:16" x14ac:dyDescent="0.2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2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 = "Exc","Excelsa",IF(I579="Ara","Arabica",IF(I579="Lib","Liberca",""))))</f>
        <v>Liberca</v>
      </c>
      <c r="O579" t="str">
        <f t="shared" ref="O579:O642" si="29">IF(J579="M","Medium",IF(J579="L","Light",IF(J579="D","Dark","")))</f>
        <v>Medium</v>
      </c>
      <c r="P579" t="str">
        <f>_xlfn.XLOOKUP(Orders[[#This Row],[Customer ID]],customers!$A$1:$A$1001,customers!$I$1:$I$1001,,0)</f>
        <v>No</v>
      </c>
    </row>
    <row r="580" spans="1:16" x14ac:dyDescent="0.2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2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2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2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2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2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2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2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2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2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Liberca</v>
      </c>
      <c r="O589" t="str">
        <f t="shared" si="29"/>
        <v>Dark</v>
      </c>
      <c r="P589" t="str">
        <f>_xlfn.XLOOKUP(Orders[[#This Row],[Customer ID]],customers!$A$1:$A$1001,customers!$I$1:$I$1001,,0)</f>
        <v>Yes</v>
      </c>
    </row>
    <row r="590" spans="1:16" x14ac:dyDescent="0.2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2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2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2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2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2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2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2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2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2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Liberca</v>
      </c>
      <c r="O599" t="str">
        <f t="shared" si="29"/>
        <v>Light</v>
      </c>
      <c r="P599" t="str">
        <f>_xlfn.XLOOKUP(Orders[[#This Row],[Customer ID]],customers!$A$1:$A$1001,customers!$I$1:$I$1001,,0)</f>
        <v>Yes</v>
      </c>
    </row>
    <row r="600" spans="1:16" x14ac:dyDescent="0.2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2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2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Liberca</v>
      </c>
      <c r="O602" t="str">
        <f t="shared" si="29"/>
        <v>Dark</v>
      </c>
      <c r="P602" t="str">
        <f>_xlfn.XLOOKUP(Orders[[#This Row],[Customer ID]],customers!$A$1:$A$1001,customers!$I$1:$I$1001,,0)</f>
        <v>No</v>
      </c>
    </row>
    <row r="603" spans="1:16" x14ac:dyDescent="0.2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2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2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2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Liberca</v>
      </c>
      <c r="O606" t="str">
        <f t="shared" si="29"/>
        <v>Dark</v>
      </c>
      <c r="P606" t="str">
        <f>_xlfn.XLOOKUP(Orders[[#This Row],[Customer ID]],customers!$A$1:$A$1001,customers!$I$1:$I$1001,,0)</f>
        <v>No</v>
      </c>
    </row>
    <row r="607" spans="1:16" x14ac:dyDescent="0.2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2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Liberca</v>
      </c>
      <c r="O608" t="str">
        <f t="shared" si="29"/>
        <v>Light</v>
      </c>
      <c r="P608" t="str">
        <f>_xlfn.XLOOKUP(Orders[[#This Row],[Customer ID]],customers!$A$1:$A$1001,customers!$I$1:$I$1001,,0)</f>
        <v>Yes</v>
      </c>
    </row>
    <row r="609" spans="1:16" x14ac:dyDescent="0.2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2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2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Liberca</v>
      </c>
      <c r="O611" t="str">
        <f t="shared" si="29"/>
        <v>Medium</v>
      </c>
      <c r="P611" t="str">
        <f>_xlfn.XLOOKUP(Orders[[#This Row],[Customer ID]],customers!$A$1:$A$1001,customers!$I$1:$I$1001,,0)</f>
        <v>Yes</v>
      </c>
    </row>
    <row r="612" spans="1:16" x14ac:dyDescent="0.2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2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2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2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2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2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Liberca</v>
      </c>
      <c r="O617" t="str">
        <f t="shared" si="29"/>
        <v>Light</v>
      </c>
      <c r="P617" t="str">
        <f>_xlfn.XLOOKUP(Orders[[#This Row],[Customer ID]],customers!$A$1:$A$1001,customers!$I$1:$I$1001,,0)</f>
        <v>Yes</v>
      </c>
    </row>
    <row r="618" spans="1:16" x14ac:dyDescent="0.2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2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Liberca</v>
      </c>
      <c r="O619" t="str">
        <f t="shared" si="29"/>
        <v>Medium</v>
      </c>
      <c r="P619" t="str">
        <f>_xlfn.XLOOKUP(Orders[[#This Row],[Customer ID]],customers!$A$1:$A$1001,customers!$I$1:$I$1001,,0)</f>
        <v>No</v>
      </c>
    </row>
    <row r="620" spans="1:16" x14ac:dyDescent="0.2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2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Liberca</v>
      </c>
      <c r="O621" t="str">
        <f t="shared" si="29"/>
        <v>Dark</v>
      </c>
      <c r="P621" t="str">
        <f>_xlfn.XLOOKUP(Orders[[#This Row],[Customer ID]],customers!$A$1:$A$1001,customers!$I$1:$I$1001,,0)</f>
        <v>Yes</v>
      </c>
    </row>
    <row r="622" spans="1:16" x14ac:dyDescent="0.2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2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2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Liberca</v>
      </c>
      <c r="O624" t="str">
        <f t="shared" si="29"/>
        <v>Medium</v>
      </c>
      <c r="P624" t="str">
        <f>_xlfn.XLOOKUP(Orders[[#This Row],[Customer ID]],customers!$A$1:$A$1001,customers!$I$1:$I$1001,,0)</f>
        <v>No</v>
      </c>
    </row>
    <row r="625" spans="1:16" x14ac:dyDescent="0.2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2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2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2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2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2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2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Liberca</v>
      </c>
      <c r="O631" t="str">
        <f t="shared" si="29"/>
        <v>Dark</v>
      </c>
      <c r="P631" t="str">
        <f>_xlfn.XLOOKUP(Orders[[#This Row],[Customer ID]],customers!$A$1:$A$1001,customers!$I$1:$I$1001,,0)</f>
        <v>Yes</v>
      </c>
    </row>
    <row r="632" spans="1:16" x14ac:dyDescent="0.2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2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2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2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2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Liberca</v>
      </c>
      <c r="O636" t="str">
        <f t="shared" si="29"/>
        <v>Medium</v>
      </c>
      <c r="P636" t="str">
        <f>_xlfn.XLOOKUP(Orders[[#This Row],[Customer ID]],customers!$A$1:$A$1001,customers!$I$1:$I$1001,,0)</f>
        <v>No</v>
      </c>
    </row>
    <row r="637" spans="1:16" x14ac:dyDescent="0.2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2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Liberca</v>
      </c>
      <c r="O638" t="str">
        <f t="shared" si="29"/>
        <v>Light</v>
      </c>
      <c r="P638" t="str">
        <f>_xlfn.XLOOKUP(Orders[[#This Row],[Customer ID]],customers!$A$1:$A$1001,customers!$I$1:$I$1001,,0)</f>
        <v>Yes</v>
      </c>
    </row>
    <row r="639" spans="1:16" x14ac:dyDescent="0.2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2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2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Liberca</v>
      </c>
      <c r="O641" t="str">
        <f t="shared" si="29"/>
        <v>Dark</v>
      </c>
      <c r="P641" t="str">
        <f>_xlfn.XLOOKUP(Orders[[#This Row],[Customer ID]],customers!$A$1:$A$1001,customers!$I$1:$I$1001,,0)</f>
        <v>Yes</v>
      </c>
    </row>
    <row r="642" spans="1:16" x14ac:dyDescent="0.2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2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 = "Exc","Excelsa",IF(I643="Ara","Arabica",IF(I643="Lib","Liberca",""))))</f>
        <v>Robusta</v>
      </c>
      <c r="O643" t="str">
        <f t="shared" ref="O643:O706" si="32">IF(J643="M","Medium",IF(J643="L","Light",IF(J643="D","Dark","")))</f>
        <v>Light</v>
      </c>
      <c r="P643" t="str">
        <f>_xlfn.XLOOKUP(Orders[[#This Row],[Customer ID]],customers!$A$1:$A$1001,customers!$I$1:$I$1001,,0)</f>
        <v>Yes</v>
      </c>
    </row>
    <row r="644" spans="1:16" x14ac:dyDescent="0.2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2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2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2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2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2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Liberca</v>
      </c>
      <c r="O649" t="str">
        <f t="shared" si="32"/>
        <v>Light</v>
      </c>
      <c r="P649" t="str">
        <f>_xlfn.XLOOKUP(Orders[[#This Row],[Customer ID]],customers!$A$1:$A$1001,customers!$I$1:$I$1001,,0)</f>
        <v>Yes</v>
      </c>
    </row>
    <row r="650" spans="1:16" x14ac:dyDescent="0.2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2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Liberca</v>
      </c>
      <c r="O651" t="str">
        <f t="shared" si="32"/>
        <v>Light</v>
      </c>
      <c r="P651" t="str">
        <f>_xlfn.XLOOKUP(Orders[[#This Row],[Customer ID]],customers!$A$1:$A$1001,customers!$I$1:$I$1001,,0)</f>
        <v>No</v>
      </c>
    </row>
    <row r="652" spans="1:16" x14ac:dyDescent="0.2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2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2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Liberca</v>
      </c>
      <c r="O654" t="str">
        <f t="shared" si="32"/>
        <v>Light</v>
      </c>
      <c r="P654" t="str">
        <f>_xlfn.XLOOKUP(Orders[[#This Row],[Customer ID]],customers!$A$1:$A$1001,customers!$I$1:$I$1001,,0)</f>
        <v>No</v>
      </c>
    </row>
    <row r="655" spans="1:16" x14ac:dyDescent="0.2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2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2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2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Liberca</v>
      </c>
      <c r="O658" t="str">
        <f t="shared" si="32"/>
        <v>Dark</v>
      </c>
      <c r="P658" t="str">
        <f>_xlfn.XLOOKUP(Orders[[#This Row],[Customer ID]],customers!$A$1:$A$1001,customers!$I$1:$I$1001,,0)</f>
        <v>No</v>
      </c>
    </row>
    <row r="659" spans="1:16" x14ac:dyDescent="0.2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2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2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2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2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2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Liberca</v>
      </c>
      <c r="O664" t="str">
        <f t="shared" si="32"/>
        <v>Dark</v>
      </c>
      <c r="P664" t="str">
        <f>_xlfn.XLOOKUP(Orders[[#This Row],[Customer ID]],customers!$A$1:$A$1001,customers!$I$1:$I$1001,,0)</f>
        <v>No</v>
      </c>
    </row>
    <row r="665" spans="1:16" x14ac:dyDescent="0.2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2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2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Liberca</v>
      </c>
      <c r="O667" t="str">
        <f t="shared" si="32"/>
        <v>Dark</v>
      </c>
      <c r="P667" t="str">
        <f>_xlfn.XLOOKUP(Orders[[#This Row],[Customer ID]],customers!$A$1:$A$1001,customers!$I$1:$I$1001,,0)</f>
        <v>No</v>
      </c>
    </row>
    <row r="668" spans="1:16" x14ac:dyDescent="0.2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2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2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2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Liberca</v>
      </c>
      <c r="O671" t="str">
        <f t="shared" si="32"/>
        <v>Medium</v>
      </c>
      <c r="P671" t="str">
        <f>_xlfn.XLOOKUP(Orders[[#This Row],[Customer ID]],customers!$A$1:$A$1001,customers!$I$1:$I$1001,,0)</f>
        <v>No</v>
      </c>
    </row>
    <row r="672" spans="1:16" x14ac:dyDescent="0.2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Liberca</v>
      </c>
      <c r="O672" t="str">
        <f t="shared" si="32"/>
        <v>Medium</v>
      </c>
      <c r="P672" t="str">
        <f>_xlfn.XLOOKUP(Orders[[#This Row],[Customer ID]],customers!$A$1:$A$1001,customers!$I$1:$I$1001,,0)</f>
        <v>Yes</v>
      </c>
    </row>
    <row r="673" spans="1:16" x14ac:dyDescent="0.2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2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Liberca</v>
      </c>
      <c r="O674" t="str">
        <f t="shared" si="32"/>
        <v>Medium</v>
      </c>
      <c r="P674" t="str">
        <f>_xlfn.XLOOKUP(Orders[[#This Row],[Customer ID]],customers!$A$1:$A$1001,customers!$I$1:$I$1001,,0)</f>
        <v>Yes</v>
      </c>
    </row>
    <row r="675" spans="1:16" x14ac:dyDescent="0.2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2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2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Liberca</v>
      </c>
      <c r="O677" t="str">
        <f t="shared" si="32"/>
        <v>Dark</v>
      </c>
      <c r="P677" t="str">
        <f>_xlfn.XLOOKUP(Orders[[#This Row],[Customer ID]],customers!$A$1:$A$1001,customers!$I$1:$I$1001,,0)</f>
        <v>Yes</v>
      </c>
    </row>
    <row r="678" spans="1:16" x14ac:dyDescent="0.2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Liberca</v>
      </c>
      <c r="O678" t="str">
        <f t="shared" si="32"/>
        <v>Light</v>
      </c>
      <c r="P678" t="str">
        <f>_xlfn.XLOOKUP(Orders[[#This Row],[Customer ID]],customers!$A$1:$A$1001,customers!$I$1:$I$1001,,0)</f>
        <v>No</v>
      </c>
    </row>
    <row r="679" spans="1:16" x14ac:dyDescent="0.2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Liberca</v>
      </c>
      <c r="O679" t="str">
        <f t="shared" si="32"/>
        <v>Medium</v>
      </c>
      <c r="P679" t="str">
        <f>_xlfn.XLOOKUP(Orders[[#This Row],[Customer ID]],customers!$A$1:$A$1001,customers!$I$1:$I$1001,,0)</f>
        <v>No</v>
      </c>
    </row>
    <row r="680" spans="1:16" x14ac:dyDescent="0.2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2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2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2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Liberca</v>
      </c>
      <c r="O683" t="str">
        <f t="shared" si="32"/>
        <v>Light</v>
      </c>
      <c r="P683" t="str">
        <f>_xlfn.XLOOKUP(Orders[[#This Row],[Customer ID]],customers!$A$1:$A$1001,customers!$I$1:$I$1001,,0)</f>
        <v>Yes</v>
      </c>
    </row>
    <row r="684" spans="1:16" x14ac:dyDescent="0.2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2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Liberca</v>
      </c>
      <c r="O685" t="str">
        <f t="shared" si="32"/>
        <v>Dark</v>
      </c>
      <c r="P685" t="str">
        <f>_xlfn.XLOOKUP(Orders[[#This Row],[Customer ID]],customers!$A$1:$A$1001,customers!$I$1:$I$1001,,0)</f>
        <v>No</v>
      </c>
    </row>
    <row r="686" spans="1:16" x14ac:dyDescent="0.2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2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Liberca</v>
      </c>
      <c r="O687" t="str">
        <f t="shared" si="32"/>
        <v>Light</v>
      </c>
      <c r="P687" t="str">
        <f>_xlfn.XLOOKUP(Orders[[#This Row],[Customer ID]],customers!$A$1:$A$1001,customers!$I$1:$I$1001,,0)</f>
        <v>Yes</v>
      </c>
    </row>
    <row r="688" spans="1:16" x14ac:dyDescent="0.2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2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2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2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2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Liberca</v>
      </c>
      <c r="O692" t="str">
        <f t="shared" si="32"/>
        <v>Dark</v>
      </c>
      <c r="P692" t="str">
        <f>_xlfn.XLOOKUP(Orders[[#This Row],[Customer ID]],customers!$A$1:$A$1001,customers!$I$1:$I$1001,,0)</f>
        <v>No</v>
      </c>
    </row>
    <row r="693" spans="1:16" x14ac:dyDescent="0.2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2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Liberca</v>
      </c>
      <c r="O694" t="str">
        <f t="shared" si="32"/>
        <v>Dark</v>
      </c>
      <c r="P694" t="str">
        <f>_xlfn.XLOOKUP(Orders[[#This Row],[Customer ID]],customers!$A$1:$A$1001,customers!$I$1:$I$1001,,0)</f>
        <v>No</v>
      </c>
    </row>
    <row r="695" spans="1:16" x14ac:dyDescent="0.2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2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2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Liberca</v>
      </c>
      <c r="O697" t="str">
        <f t="shared" si="32"/>
        <v>Light</v>
      </c>
      <c r="P697" t="str">
        <f>_xlfn.XLOOKUP(Orders[[#This Row],[Customer ID]],customers!$A$1:$A$1001,customers!$I$1:$I$1001,,0)</f>
        <v>Yes</v>
      </c>
    </row>
    <row r="698" spans="1:16" x14ac:dyDescent="0.2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Liberca</v>
      </c>
      <c r="O698" t="str">
        <f t="shared" si="32"/>
        <v>Dark</v>
      </c>
      <c r="P698" t="str">
        <f>_xlfn.XLOOKUP(Orders[[#This Row],[Customer ID]],customers!$A$1:$A$1001,customers!$I$1:$I$1001,,0)</f>
        <v>No</v>
      </c>
    </row>
    <row r="699" spans="1:16" x14ac:dyDescent="0.2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2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Liberca</v>
      </c>
      <c r="O700" t="str">
        <f t="shared" si="32"/>
        <v>Dark</v>
      </c>
      <c r="P700" t="str">
        <f>_xlfn.XLOOKUP(Orders[[#This Row],[Customer ID]],customers!$A$1:$A$1001,customers!$I$1:$I$1001,,0)</f>
        <v>No</v>
      </c>
    </row>
    <row r="701" spans="1:16" x14ac:dyDescent="0.2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2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Liberca</v>
      </c>
      <c r="O702" t="str">
        <f t="shared" si="32"/>
        <v>Light</v>
      </c>
      <c r="P702" t="str">
        <f>_xlfn.XLOOKUP(Orders[[#This Row],[Customer ID]],customers!$A$1:$A$1001,customers!$I$1:$I$1001,,0)</f>
        <v>No</v>
      </c>
    </row>
    <row r="703" spans="1:16" x14ac:dyDescent="0.2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2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2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Liberca</v>
      </c>
      <c r="O705" t="str">
        <f t="shared" si="32"/>
        <v>Dark</v>
      </c>
      <c r="P705" t="str">
        <f>_xlfn.XLOOKUP(Orders[[#This Row],[Customer ID]],customers!$A$1:$A$1001,customers!$I$1:$I$1001,,0)</f>
        <v>Yes</v>
      </c>
    </row>
    <row r="706" spans="1:16" x14ac:dyDescent="0.2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2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 = "Exc","Excelsa",IF(I707="Ara","Arabica",IF(I707="Lib","Liberca",""))))</f>
        <v>Excelsa</v>
      </c>
      <c r="O707" t="str">
        <f t="shared" ref="O707:O770" si="35">IF(J707="M","Medium",IF(J707="L","Light",IF(J707="D","Dark","")))</f>
        <v>Light</v>
      </c>
      <c r="P707" t="str">
        <f>_xlfn.XLOOKUP(Orders[[#This Row],[Customer ID]],customers!$A$1:$A$1001,customers!$I$1:$I$1001,,0)</f>
        <v>No</v>
      </c>
    </row>
    <row r="708" spans="1:16" x14ac:dyDescent="0.2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2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Liberca</v>
      </c>
      <c r="O709" t="str">
        <f t="shared" si="35"/>
        <v>Dark</v>
      </c>
      <c r="P709" t="str">
        <f>_xlfn.XLOOKUP(Orders[[#This Row],[Customer ID]],customers!$A$1:$A$1001,customers!$I$1:$I$1001,,0)</f>
        <v>No</v>
      </c>
    </row>
    <row r="710" spans="1:16" x14ac:dyDescent="0.2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2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2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2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2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2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2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2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2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2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2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Liberca</v>
      </c>
      <c r="O720" t="str">
        <f t="shared" si="35"/>
        <v>Dark</v>
      </c>
      <c r="P720" t="str">
        <f>_xlfn.XLOOKUP(Orders[[#This Row],[Customer ID]],customers!$A$1:$A$1001,customers!$I$1:$I$1001,,0)</f>
        <v>No</v>
      </c>
    </row>
    <row r="721" spans="1:16" x14ac:dyDescent="0.2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Liberca</v>
      </c>
      <c r="O721" t="str">
        <f t="shared" si="35"/>
        <v>Light</v>
      </c>
      <c r="P721" t="str">
        <f>_xlfn.XLOOKUP(Orders[[#This Row],[Customer ID]],customers!$A$1:$A$1001,customers!$I$1:$I$1001,,0)</f>
        <v>Yes</v>
      </c>
    </row>
    <row r="722" spans="1:16" x14ac:dyDescent="0.2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2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2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2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2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2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2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Liberca</v>
      </c>
      <c r="O728" t="str">
        <f t="shared" si="35"/>
        <v>Light</v>
      </c>
      <c r="P728" t="str">
        <f>_xlfn.XLOOKUP(Orders[[#This Row],[Customer ID]],customers!$A$1:$A$1001,customers!$I$1:$I$1001,,0)</f>
        <v>No</v>
      </c>
    </row>
    <row r="729" spans="1:16" x14ac:dyDescent="0.2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2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2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Liberca</v>
      </c>
      <c r="O731" t="str">
        <f t="shared" si="35"/>
        <v>Medium</v>
      </c>
      <c r="P731" t="str">
        <f>_xlfn.XLOOKUP(Orders[[#This Row],[Customer ID]],customers!$A$1:$A$1001,customers!$I$1:$I$1001,,0)</f>
        <v>No</v>
      </c>
    </row>
    <row r="732" spans="1:16" x14ac:dyDescent="0.2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Liberca</v>
      </c>
      <c r="O732" t="str">
        <f t="shared" si="35"/>
        <v>Light</v>
      </c>
      <c r="P732" t="str">
        <f>_xlfn.XLOOKUP(Orders[[#This Row],[Customer ID]],customers!$A$1:$A$1001,customers!$I$1:$I$1001,,0)</f>
        <v>No</v>
      </c>
    </row>
    <row r="733" spans="1:16" x14ac:dyDescent="0.2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Liberca</v>
      </c>
      <c r="O733" t="str">
        <f t="shared" si="35"/>
        <v>Dark</v>
      </c>
      <c r="P733" t="str">
        <f>_xlfn.XLOOKUP(Orders[[#This Row],[Customer ID]],customers!$A$1:$A$1001,customers!$I$1:$I$1001,,0)</f>
        <v>Yes</v>
      </c>
    </row>
    <row r="734" spans="1:16" x14ac:dyDescent="0.2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2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Liberca</v>
      </c>
      <c r="O735" t="str">
        <f t="shared" si="35"/>
        <v>Medium</v>
      </c>
      <c r="P735" t="str">
        <f>_xlfn.XLOOKUP(Orders[[#This Row],[Customer ID]],customers!$A$1:$A$1001,customers!$I$1:$I$1001,,0)</f>
        <v>Yes</v>
      </c>
    </row>
    <row r="736" spans="1:16" x14ac:dyDescent="0.2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2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2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Liberca</v>
      </c>
      <c r="O738" t="str">
        <f t="shared" si="35"/>
        <v>Dark</v>
      </c>
      <c r="P738" t="str">
        <f>_xlfn.XLOOKUP(Orders[[#This Row],[Customer ID]],customers!$A$1:$A$1001,customers!$I$1:$I$1001,,0)</f>
        <v>Yes</v>
      </c>
    </row>
    <row r="739" spans="1:16" x14ac:dyDescent="0.2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2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2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2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2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Liberca</v>
      </c>
      <c r="O743" t="str">
        <f t="shared" si="35"/>
        <v>Medium</v>
      </c>
      <c r="P743" t="str">
        <f>_xlfn.XLOOKUP(Orders[[#This Row],[Customer ID]],customers!$A$1:$A$1001,customers!$I$1:$I$1001,,0)</f>
        <v>No</v>
      </c>
    </row>
    <row r="744" spans="1:16" x14ac:dyDescent="0.2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Liberca</v>
      </c>
      <c r="O744" t="str">
        <f t="shared" si="35"/>
        <v>Medium</v>
      </c>
      <c r="P744" t="str">
        <f>_xlfn.XLOOKUP(Orders[[#This Row],[Customer ID]],customers!$A$1:$A$1001,customers!$I$1:$I$1001,,0)</f>
        <v>No</v>
      </c>
    </row>
    <row r="745" spans="1:16" x14ac:dyDescent="0.2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2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2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2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2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Liberca</v>
      </c>
      <c r="O749" t="str">
        <f t="shared" si="35"/>
        <v>Medium</v>
      </c>
      <c r="P749" t="str">
        <f>_xlfn.XLOOKUP(Orders[[#This Row],[Customer ID]],customers!$A$1:$A$1001,customers!$I$1:$I$1001,,0)</f>
        <v>Yes</v>
      </c>
    </row>
    <row r="750" spans="1:16" x14ac:dyDescent="0.2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2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2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2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Liberca</v>
      </c>
      <c r="O753" t="str">
        <f t="shared" si="35"/>
        <v>Light</v>
      </c>
      <c r="P753" t="str">
        <f>_xlfn.XLOOKUP(Orders[[#This Row],[Customer ID]],customers!$A$1:$A$1001,customers!$I$1:$I$1001,,0)</f>
        <v>No</v>
      </c>
    </row>
    <row r="754" spans="1:16" x14ac:dyDescent="0.2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2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2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2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Liberca</v>
      </c>
      <c r="O757" t="str">
        <f t="shared" si="35"/>
        <v>Light</v>
      </c>
      <c r="P757" t="str">
        <f>_xlfn.XLOOKUP(Orders[[#This Row],[Customer ID]],customers!$A$1:$A$1001,customers!$I$1:$I$1001,,0)</f>
        <v>No</v>
      </c>
    </row>
    <row r="758" spans="1:16" x14ac:dyDescent="0.2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2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2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2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Liberca</v>
      </c>
      <c r="O761" t="str">
        <f t="shared" si="35"/>
        <v>Dark</v>
      </c>
      <c r="P761" t="str">
        <f>_xlfn.XLOOKUP(Orders[[#This Row],[Customer ID]],customers!$A$1:$A$1001,customers!$I$1:$I$1001,,0)</f>
        <v>Yes</v>
      </c>
    </row>
    <row r="762" spans="1:16" x14ac:dyDescent="0.2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2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2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Liberca</v>
      </c>
      <c r="O764" t="str">
        <f t="shared" si="35"/>
        <v>Medium</v>
      </c>
      <c r="P764" t="str">
        <f>_xlfn.XLOOKUP(Orders[[#This Row],[Customer ID]],customers!$A$1:$A$1001,customers!$I$1:$I$1001,,0)</f>
        <v>No</v>
      </c>
    </row>
    <row r="765" spans="1:16" x14ac:dyDescent="0.2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2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2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2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2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2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2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 = "Exc","Excelsa",IF(I771="Ara","Arabica",IF(I771="Lib","Liberca",""))))</f>
        <v>Robusta</v>
      </c>
      <c r="O771" t="str">
        <f t="shared" ref="O771:O834" si="38">IF(J771="M","Medium",IF(J771="L","Light",IF(J771="D","Dark","")))</f>
        <v>Medium</v>
      </c>
      <c r="P771" t="str">
        <f>_xlfn.XLOOKUP(Orders[[#This Row],[Customer ID]],customers!$A$1:$A$1001,customers!$I$1:$I$1001,,0)</f>
        <v>No</v>
      </c>
    </row>
    <row r="772" spans="1:16" x14ac:dyDescent="0.2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2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2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2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Liberca</v>
      </c>
      <c r="O775" t="str">
        <f t="shared" si="38"/>
        <v>Medium</v>
      </c>
      <c r="P775" t="str">
        <f>_xlfn.XLOOKUP(Orders[[#This Row],[Customer ID]],customers!$A$1:$A$1001,customers!$I$1:$I$1001,,0)</f>
        <v>No</v>
      </c>
    </row>
    <row r="776" spans="1:16" x14ac:dyDescent="0.2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2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2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2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2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Liberca</v>
      </c>
      <c r="O780" t="str">
        <f t="shared" si="38"/>
        <v>Light</v>
      </c>
      <c r="P780" t="str">
        <f>_xlfn.XLOOKUP(Orders[[#This Row],[Customer ID]],customers!$A$1:$A$1001,customers!$I$1:$I$1001,,0)</f>
        <v>Yes</v>
      </c>
    </row>
    <row r="781" spans="1:16" x14ac:dyDescent="0.2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Liberca</v>
      </c>
      <c r="O781" t="str">
        <f t="shared" si="38"/>
        <v>Dark</v>
      </c>
      <c r="P781" t="str">
        <f>_xlfn.XLOOKUP(Orders[[#This Row],[Customer ID]],customers!$A$1:$A$1001,customers!$I$1:$I$1001,,0)</f>
        <v>Yes</v>
      </c>
    </row>
    <row r="782" spans="1:16" x14ac:dyDescent="0.2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2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Liberca</v>
      </c>
      <c r="O783" t="str">
        <f t="shared" si="38"/>
        <v>Light</v>
      </c>
      <c r="P783" t="str">
        <f>_xlfn.XLOOKUP(Orders[[#This Row],[Customer ID]],customers!$A$1:$A$1001,customers!$I$1:$I$1001,,0)</f>
        <v>No</v>
      </c>
    </row>
    <row r="784" spans="1:16" x14ac:dyDescent="0.2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2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Liberca</v>
      </c>
      <c r="O785" t="str">
        <f t="shared" si="38"/>
        <v>Medium</v>
      </c>
      <c r="P785" t="str">
        <f>_xlfn.XLOOKUP(Orders[[#This Row],[Customer ID]],customers!$A$1:$A$1001,customers!$I$1:$I$1001,,0)</f>
        <v>Yes</v>
      </c>
    </row>
    <row r="786" spans="1:16" x14ac:dyDescent="0.2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Liberca</v>
      </c>
      <c r="O786" t="str">
        <f t="shared" si="38"/>
        <v>Light</v>
      </c>
      <c r="P786" t="str">
        <f>_xlfn.XLOOKUP(Orders[[#This Row],[Customer ID]],customers!$A$1:$A$1001,customers!$I$1:$I$1001,,0)</f>
        <v>No</v>
      </c>
    </row>
    <row r="787" spans="1:16" x14ac:dyDescent="0.2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2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2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2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2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2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2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Liberca</v>
      </c>
      <c r="O793" t="str">
        <f t="shared" si="38"/>
        <v>Light</v>
      </c>
      <c r="P793" t="str">
        <f>_xlfn.XLOOKUP(Orders[[#This Row],[Customer ID]],customers!$A$1:$A$1001,customers!$I$1:$I$1001,,0)</f>
        <v>Yes</v>
      </c>
    </row>
    <row r="794" spans="1:16" x14ac:dyDescent="0.2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Liberca</v>
      </c>
      <c r="O794" t="str">
        <f t="shared" si="38"/>
        <v>Medium</v>
      </c>
      <c r="P794" t="str">
        <f>_xlfn.XLOOKUP(Orders[[#This Row],[Customer ID]],customers!$A$1:$A$1001,customers!$I$1:$I$1001,,0)</f>
        <v>Yes</v>
      </c>
    </row>
    <row r="795" spans="1:16" x14ac:dyDescent="0.2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2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2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2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Liberca</v>
      </c>
      <c r="O798" t="str">
        <f t="shared" si="38"/>
        <v>Light</v>
      </c>
      <c r="P798" t="str">
        <f>_xlfn.XLOOKUP(Orders[[#This Row],[Customer ID]],customers!$A$1:$A$1001,customers!$I$1:$I$1001,,0)</f>
        <v>No</v>
      </c>
    </row>
    <row r="799" spans="1:16" x14ac:dyDescent="0.2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2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2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2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2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2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2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2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2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2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Liberca</v>
      </c>
      <c r="O808" t="str">
        <f t="shared" si="38"/>
        <v>Dark</v>
      </c>
      <c r="P808" t="str">
        <f>_xlfn.XLOOKUP(Orders[[#This Row],[Customer ID]],customers!$A$1:$A$1001,customers!$I$1:$I$1001,,0)</f>
        <v>Yes</v>
      </c>
    </row>
    <row r="809" spans="1:16" x14ac:dyDescent="0.2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Liberca</v>
      </c>
      <c r="O809" t="str">
        <f t="shared" si="38"/>
        <v>Dark</v>
      </c>
      <c r="P809" t="str">
        <f>_xlfn.XLOOKUP(Orders[[#This Row],[Customer ID]],customers!$A$1:$A$1001,customers!$I$1:$I$1001,,0)</f>
        <v>No</v>
      </c>
    </row>
    <row r="810" spans="1:16" x14ac:dyDescent="0.2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2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2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Liberca</v>
      </c>
      <c r="O812" t="str">
        <f t="shared" si="38"/>
        <v>Light</v>
      </c>
      <c r="P812" t="str">
        <f>_xlfn.XLOOKUP(Orders[[#This Row],[Customer ID]],customers!$A$1:$A$1001,customers!$I$1:$I$1001,,0)</f>
        <v>No</v>
      </c>
    </row>
    <row r="813" spans="1:16" x14ac:dyDescent="0.2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2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Liberca</v>
      </c>
      <c r="O814" t="str">
        <f t="shared" si="38"/>
        <v>Dark</v>
      </c>
      <c r="P814" t="str">
        <f>_xlfn.XLOOKUP(Orders[[#This Row],[Customer ID]],customers!$A$1:$A$1001,customers!$I$1:$I$1001,,0)</f>
        <v>Yes</v>
      </c>
    </row>
    <row r="815" spans="1:16" x14ac:dyDescent="0.2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2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2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2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Liberca</v>
      </c>
      <c r="O818" t="str">
        <f t="shared" si="38"/>
        <v>Light</v>
      </c>
      <c r="P818" t="str">
        <f>_xlfn.XLOOKUP(Orders[[#This Row],[Customer ID]],customers!$A$1:$A$1001,customers!$I$1:$I$1001,,0)</f>
        <v>No</v>
      </c>
    </row>
    <row r="819" spans="1:16" x14ac:dyDescent="0.2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Liberca</v>
      </c>
      <c r="O819" t="str">
        <f t="shared" si="38"/>
        <v>Dark</v>
      </c>
      <c r="P819" t="str">
        <f>_xlfn.XLOOKUP(Orders[[#This Row],[Customer ID]],customers!$A$1:$A$1001,customers!$I$1:$I$1001,,0)</f>
        <v>No</v>
      </c>
    </row>
    <row r="820" spans="1:16" x14ac:dyDescent="0.2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Liberca</v>
      </c>
      <c r="O820" t="str">
        <f t="shared" si="38"/>
        <v>Light</v>
      </c>
      <c r="P820" t="str">
        <f>_xlfn.XLOOKUP(Orders[[#This Row],[Customer ID]],customers!$A$1:$A$1001,customers!$I$1:$I$1001,,0)</f>
        <v>No</v>
      </c>
    </row>
    <row r="821" spans="1:16" x14ac:dyDescent="0.2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Liberca</v>
      </c>
      <c r="O821" t="str">
        <f t="shared" si="38"/>
        <v>Light</v>
      </c>
      <c r="P821" t="str">
        <f>_xlfn.XLOOKUP(Orders[[#This Row],[Customer ID]],customers!$A$1:$A$1001,customers!$I$1:$I$1001,,0)</f>
        <v>Yes</v>
      </c>
    </row>
    <row r="822" spans="1:16" x14ac:dyDescent="0.2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2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2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2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Liberca</v>
      </c>
      <c r="O825" t="str">
        <f t="shared" si="38"/>
        <v>Light</v>
      </c>
      <c r="P825" t="str">
        <f>_xlfn.XLOOKUP(Orders[[#This Row],[Customer ID]],customers!$A$1:$A$1001,customers!$I$1:$I$1001,,0)</f>
        <v>Yes</v>
      </c>
    </row>
    <row r="826" spans="1:16" x14ac:dyDescent="0.2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2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2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2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2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2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2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2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2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2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 = "Exc","Excelsa",IF(I835="Ara","Arabica",IF(I835="Lib","Liberca",""))))</f>
        <v>Robusta</v>
      </c>
      <c r="O835" t="str">
        <f t="shared" ref="O835:O898" si="41">IF(J835="M","Medium",IF(J835="L","Light",IF(J835="D","Dark","")))</f>
        <v>Dark</v>
      </c>
      <c r="P835" t="str">
        <f>_xlfn.XLOOKUP(Orders[[#This Row],[Customer ID]],customers!$A$1:$A$1001,customers!$I$1:$I$1001,,0)</f>
        <v>Yes</v>
      </c>
    </row>
    <row r="836" spans="1:16" x14ac:dyDescent="0.2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2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2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2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Liberca</v>
      </c>
      <c r="O839" t="str">
        <f t="shared" si="41"/>
        <v>Medium</v>
      </c>
      <c r="P839" t="str">
        <f>_xlfn.XLOOKUP(Orders[[#This Row],[Customer ID]],customers!$A$1:$A$1001,customers!$I$1:$I$1001,,0)</f>
        <v>No</v>
      </c>
    </row>
    <row r="840" spans="1:16" x14ac:dyDescent="0.2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2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2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2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Liberca</v>
      </c>
      <c r="O843" t="str">
        <f t="shared" si="41"/>
        <v>Medium</v>
      </c>
      <c r="P843" t="str">
        <f>_xlfn.XLOOKUP(Orders[[#This Row],[Customer ID]],customers!$A$1:$A$1001,customers!$I$1:$I$1001,,0)</f>
        <v>No</v>
      </c>
    </row>
    <row r="844" spans="1:16" x14ac:dyDescent="0.2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2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2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2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2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2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2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2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2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2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Liberca</v>
      </c>
      <c r="O853" t="str">
        <f t="shared" si="41"/>
        <v>Dark</v>
      </c>
      <c r="P853" t="str">
        <f>_xlfn.XLOOKUP(Orders[[#This Row],[Customer ID]],customers!$A$1:$A$1001,customers!$I$1:$I$1001,,0)</f>
        <v>Yes</v>
      </c>
    </row>
    <row r="854" spans="1:16" x14ac:dyDescent="0.2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Liberca</v>
      </c>
      <c r="O854" t="str">
        <f t="shared" si="41"/>
        <v>Dark</v>
      </c>
      <c r="P854" t="str">
        <f>_xlfn.XLOOKUP(Orders[[#This Row],[Customer ID]],customers!$A$1:$A$1001,customers!$I$1:$I$1001,,0)</f>
        <v>Yes</v>
      </c>
    </row>
    <row r="855" spans="1:16" x14ac:dyDescent="0.2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2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2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Liberca</v>
      </c>
      <c r="O857" t="str">
        <f t="shared" si="41"/>
        <v>Dark</v>
      </c>
      <c r="P857" t="str">
        <f>_xlfn.XLOOKUP(Orders[[#This Row],[Customer ID]],customers!$A$1:$A$1001,customers!$I$1:$I$1001,,0)</f>
        <v>No</v>
      </c>
    </row>
    <row r="858" spans="1:16" x14ac:dyDescent="0.2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Liberca</v>
      </c>
      <c r="O858" t="str">
        <f t="shared" si="41"/>
        <v>Medium</v>
      </c>
      <c r="P858" t="str">
        <f>_xlfn.XLOOKUP(Orders[[#This Row],[Customer ID]],customers!$A$1:$A$1001,customers!$I$1:$I$1001,,0)</f>
        <v>Yes</v>
      </c>
    </row>
    <row r="859" spans="1:16" x14ac:dyDescent="0.2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2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Liberca</v>
      </c>
      <c r="O860" t="str">
        <f t="shared" si="41"/>
        <v>Medium</v>
      </c>
      <c r="P860" t="str">
        <f>_xlfn.XLOOKUP(Orders[[#This Row],[Customer ID]],customers!$A$1:$A$1001,customers!$I$1:$I$1001,,0)</f>
        <v>No</v>
      </c>
    </row>
    <row r="861" spans="1:16" x14ac:dyDescent="0.2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2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2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Liberca</v>
      </c>
      <c r="O863" t="str">
        <f t="shared" si="41"/>
        <v>Dark</v>
      </c>
      <c r="P863" t="str">
        <f>_xlfn.XLOOKUP(Orders[[#This Row],[Customer ID]],customers!$A$1:$A$1001,customers!$I$1:$I$1001,,0)</f>
        <v>Yes</v>
      </c>
    </row>
    <row r="864" spans="1:16" x14ac:dyDescent="0.2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2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Liberca</v>
      </c>
      <c r="O865" t="str">
        <f t="shared" si="41"/>
        <v>Medium</v>
      </c>
      <c r="P865" t="str">
        <f>_xlfn.XLOOKUP(Orders[[#This Row],[Customer ID]],customers!$A$1:$A$1001,customers!$I$1:$I$1001,,0)</f>
        <v>Yes</v>
      </c>
    </row>
    <row r="866" spans="1:16" x14ac:dyDescent="0.2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2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2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2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2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2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2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2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2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2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2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2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Liberca</v>
      </c>
      <c r="O877" t="str">
        <f t="shared" si="41"/>
        <v>Medium</v>
      </c>
      <c r="P877" t="str">
        <f>_xlfn.XLOOKUP(Orders[[#This Row],[Customer ID]],customers!$A$1:$A$1001,customers!$I$1:$I$1001,,0)</f>
        <v>No</v>
      </c>
    </row>
    <row r="878" spans="1:16" x14ac:dyDescent="0.2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2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Liberca</v>
      </c>
      <c r="O879" t="str">
        <f t="shared" si="41"/>
        <v>Light</v>
      </c>
      <c r="P879" t="str">
        <f>_xlfn.XLOOKUP(Orders[[#This Row],[Customer ID]],customers!$A$1:$A$1001,customers!$I$1:$I$1001,,0)</f>
        <v>No</v>
      </c>
    </row>
    <row r="880" spans="1:16" x14ac:dyDescent="0.2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2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2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2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2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2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2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2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2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Liberca</v>
      </c>
      <c r="O888" t="str">
        <f t="shared" si="41"/>
        <v>Medium</v>
      </c>
      <c r="P888" t="str">
        <f>_xlfn.XLOOKUP(Orders[[#This Row],[Customer ID]],customers!$A$1:$A$1001,customers!$I$1:$I$1001,,0)</f>
        <v>No</v>
      </c>
    </row>
    <row r="889" spans="1:16" x14ac:dyDescent="0.2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2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2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2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2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2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2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Liberca</v>
      </c>
      <c r="O895" t="str">
        <f t="shared" si="41"/>
        <v>Light</v>
      </c>
      <c r="P895" t="str">
        <f>_xlfn.XLOOKUP(Orders[[#This Row],[Customer ID]],customers!$A$1:$A$1001,customers!$I$1:$I$1001,,0)</f>
        <v>Yes</v>
      </c>
    </row>
    <row r="896" spans="1:16" x14ac:dyDescent="0.2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2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2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2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 = "Exc","Excelsa",IF(I899="Ara","Arabica",IF(I899="Lib","Liberca",""))))</f>
        <v>Excelsa</v>
      </c>
      <c r="O899" t="str">
        <f t="shared" ref="O899:O962" si="44">IF(J899="M","Medium",IF(J899="L","Light",IF(J899="D","Dark","")))</f>
        <v>Dark</v>
      </c>
      <c r="P899" t="str">
        <f>_xlfn.XLOOKUP(Orders[[#This Row],[Customer ID]],customers!$A$1:$A$1001,customers!$I$1:$I$1001,,0)</f>
        <v>No</v>
      </c>
    </row>
    <row r="900" spans="1:16" x14ac:dyDescent="0.2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2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Liberca</v>
      </c>
      <c r="O901" t="str">
        <f t="shared" si="44"/>
        <v>Medium</v>
      </c>
      <c r="P901" t="str">
        <f>_xlfn.XLOOKUP(Orders[[#This Row],[Customer ID]],customers!$A$1:$A$1001,customers!$I$1:$I$1001,,0)</f>
        <v>No</v>
      </c>
    </row>
    <row r="902" spans="1:16" x14ac:dyDescent="0.2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Liberca</v>
      </c>
      <c r="O902" t="str">
        <f t="shared" si="44"/>
        <v>Light</v>
      </c>
      <c r="P902" t="str">
        <f>_xlfn.XLOOKUP(Orders[[#This Row],[Customer ID]],customers!$A$1:$A$1001,customers!$I$1:$I$1001,,0)</f>
        <v>No</v>
      </c>
    </row>
    <row r="903" spans="1:16" x14ac:dyDescent="0.2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2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2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Liberca</v>
      </c>
      <c r="O905" t="str">
        <f t="shared" si="44"/>
        <v>Medium</v>
      </c>
      <c r="P905" t="str">
        <f>_xlfn.XLOOKUP(Orders[[#This Row],[Customer ID]],customers!$A$1:$A$1001,customers!$I$1:$I$1001,,0)</f>
        <v>No</v>
      </c>
    </row>
    <row r="906" spans="1:16" x14ac:dyDescent="0.2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2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2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2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Liberca</v>
      </c>
      <c r="O909" t="str">
        <f t="shared" si="44"/>
        <v>Dark</v>
      </c>
      <c r="P909" t="str">
        <f>_xlfn.XLOOKUP(Orders[[#This Row],[Customer ID]],customers!$A$1:$A$1001,customers!$I$1:$I$1001,,0)</f>
        <v>No</v>
      </c>
    </row>
    <row r="910" spans="1:16" x14ac:dyDescent="0.2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2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2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2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2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2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2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2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2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2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2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2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2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2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Liberca</v>
      </c>
      <c r="O923" t="str">
        <f t="shared" si="44"/>
        <v>Dark</v>
      </c>
      <c r="P923" t="str">
        <f>_xlfn.XLOOKUP(Orders[[#This Row],[Customer ID]],customers!$A$1:$A$1001,customers!$I$1:$I$1001,,0)</f>
        <v>No</v>
      </c>
    </row>
    <row r="924" spans="1:16" x14ac:dyDescent="0.2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2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2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2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2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2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2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2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2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2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2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2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2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2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2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Liberca</v>
      </c>
      <c r="O938" t="str">
        <f t="shared" si="44"/>
        <v>Dark</v>
      </c>
      <c r="P938" t="str">
        <f>_xlfn.XLOOKUP(Orders[[#This Row],[Customer ID]],customers!$A$1:$A$1001,customers!$I$1:$I$1001,,0)</f>
        <v>Yes</v>
      </c>
    </row>
    <row r="939" spans="1:16" x14ac:dyDescent="0.2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2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2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Liberca</v>
      </c>
      <c r="O941" t="str">
        <f t="shared" si="44"/>
        <v>Light</v>
      </c>
      <c r="P941" t="str">
        <f>_xlfn.XLOOKUP(Orders[[#This Row],[Customer ID]],customers!$A$1:$A$1001,customers!$I$1:$I$1001,,0)</f>
        <v>No</v>
      </c>
    </row>
    <row r="942" spans="1:16" x14ac:dyDescent="0.2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2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2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2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2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2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Liberca</v>
      </c>
      <c r="O947" t="str">
        <f t="shared" si="44"/>
        <v>Dark</v>
      </c>
      <c r="P947" t="str">
        <f>_xlfn.XLOOKUP(Orders[[#This Row],[Customer ID]],customers!$A$1:$A$1001,customers!$I$1:$I$1001,,0)</f>
        <v>No</v>
      </c>
    </row>
    <row r="948" spans="1:16" x14ac:dyDescent="0.2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Liberca</v>
      </c>
      <c r="O948" t="str">
        <f t="shared" si="44"/>
        <v>Dark</v>
      </c>
      <c r="P948" t="str">
        <f>_xlfn.XLOOKUP(Orders[[#This Row],[Customer ID]],customers!$A$1:$A$1001,customers!$I$1:$I$1001,,0)</f>
        <v>No</v>
      </c>
    </row>
    <row r="949" spans="1:16" x14ac:dyDescent="0.2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2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2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2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2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2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2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2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2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2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2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2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2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Liberca</v>
      </c>
      <c r="O961" t="str">
        <f t="shared" si="44"/>
        <v>Light</v>
      </c>
      <c r="P961" t="str">
        <f>_xlfn.XLOOKUP(Orders[[#This Row],[Customer ID]],customers!$A$1:$A$1001,customers!$I$1:$I$1001,,0)</f>
        <v>Yes</v>
      </c>
    </row>
    <row r="962" spans="1:16" x14ac:dyDescent="0.2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Liberca</v>
      </c>
      <c r="O962" t="str">
        <f t="shared" si="44"/>
        <v>Light</v>
      </c>
      <c r="P962" t="str">
        <f>_xlfn.XLOOKUP(Orders[[#This Row],[Customer ID]],customers!$A$1:$A$1001,customers!$I$1:$I$1001,,0)</f>
        <v>Yes</v>
      </c>
    </row>
    <row r="963" spans="1:16" x14ac:dyDescent="0.2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 = "Exc","Excelsa",IF(I963="Ara","Arabica",IF(I963="Lib","Liberca",""))))</f>
        <v>Arabica</v>
      </c>
      <c r="O963" t="str">
        <f t="shared" ref="O963:O1001" si="47">IF(J963="M","Medium",IF(J963="L","Light",IF(J963="D","Dark","")))</f>
        <v>Dark</v>
      </c>
      <c r="P963" t="str">
        <f>_xlfn.XLOOKUP(Orders[[#This Row],[Customer ID]],customers!$A$1:$A$1001,customers!$I$1:$I$1001,,0)</f>
        <v>Yes</v>
      </c>
    </row>
    <row r="964" spans="1:16" x14ac:dyDescent="0.2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2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2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2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2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2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2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2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Liberca</v>
      </c>
      <c r="O971" t="str">
        <f t="shared" si="47"/>
        <v>Dark</v>
      </c>
      <c r="P971" t="str">
        <f>_xlfn.XLOOKUP(Orders[[#This Row],[Customer ID]],customers!$A$1:$A$1001,customers!$I$1:$I$1001,,0)</f>
        <v>Yes</v>
      </c>
    </row>
    <row r="972" spans="1:16" x14ac:dyDescent="0.2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2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2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2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Liberca</v>
      </c>
      <c r="O975" t="str">
        <f t="shared" si="47"/>
        <v>Medium</v>
      </c>
      <c r="P975" t="str">
        <f>_xlfn.XLOOKUP(Orders[[#This Row],[Customer ID]],customers!$A$1:$A$1001,customers!$I$1:$I$1001,,0)</f>
        <v>No</v>
      </c>
    </row>
    <row r="976" spans="1:16" x14ac:dyDescent="0.2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2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2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2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2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2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2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2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2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2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2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2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2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Liberca</v>
      </c>
      <c r="O988" t="str">
        <f t="shared" si="47"/>
        <v>Medium</v>
      </c>
      <c r="P988" t="str">
        <f>_xlfn.XLOOKUP(Orders[[#This Row],[Customer ID]],customers!$A$1:$A$1001,customers!$I$1:$I$1001,,0)</f>
        <v>No</v>
      </c>
    </row>
    <row r="989" spans="1:16" x14ac:dyDescent="0.2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2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2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2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2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Liberca</v>
      </c>
      <c r="O993" t="str">
        <f t="shared" si="47"/>
        <v>Dark</v>
      </c>
      <c r="P993" t="str">
        <f>_xlfn.XLOOKUP(Orders[[#This Row],[Customer ID]],customers!$A$1:$A$1001,customers!$I$1:$I$1001,,0)</f>
        <v>No</v>
      </c>
    </row>
    <row r="994" spans="1:16" x14ac:dyDescent="0.2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Liberca</v>
      </c>
      <c r="O994" t="str">
        <f t="shared" si="47"/>
        <v>Light</v>
      </c>
      <c r="P994" t="str">
        <f>_xlfn.XLOOKUP(Orders[[#This Row],[Customer ID]],customers!$A$1:$A$1001,customers!$I$1:$I$1001,,0)</f>
        <v>No</v>
      </c>
    </row>
    <row r="995" spans="1:16" x14ac:dyDescent="0.2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2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2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2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2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2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2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80"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 bar 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Maninder Kaur</cp:lastModifiedBy>
  <cp:revision/>
  <dcterms:created xsi:type="dcterms:W3CDTF">2022-11-26T09:51:45Z</dcterms:created>
  <dcterms:modified xsi:type="dcterms:W3CDTF">2026-05-27T13:34:52Z</dcterms:modified>
  <cp:category/>
  <cp:contentStatus/>
</cp:coreProperties>
</file>